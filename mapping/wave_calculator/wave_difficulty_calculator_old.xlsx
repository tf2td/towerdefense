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ropbox\Public\Coding\"/>
    </mc:Choice>
  </mc:AlternateContent>
  <bookViews>
    <workbookView xWindow="0" yWindow="0" windowWidth="24000" windowHeight="97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K51" i="1" l="1"/>
  <c r="L3" i="1"/>
  <c r="L4" i="1"/>
  <c r="L5" i="1"/>
  <c r="L6" i="1"/>
  <c r="L7" i="1"/>
  <c r="L8" i="1"/>
  <c r="L9" i="1"/>
  <c r="L10" i="1"/>
  <c r="L2" i="1"/>
  <c r="J3" i="1"/>
  <c r="J4" i="1"/>
  <c r="J5" i="1"/>
  <c r="J7" i="1"/>
  <c r="J10" i="1"/>
  <c r="J11" i="1"/>
  <c r="L11" i="1" s="1"/>
  <c r="J12" i="1"/>
  <c r="L12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2" i="1"/>
  <c r="I3" i="1"/>
  <c r="I4" i="1"/>
  <c r="I5" i="1"/>
  <c r="I6" i="1"/>
  <c r="J6" i="1" s="1"/>
  <c r="I7" i="1"/>
  <c r="I8" i="1"/>
  <c r="J8" i="1" s="1"/>
  <c r="I9" i="1"/>
  <c r="J9" i="1" s="1"/>
  <c r="I10" i="1"/>
  <c r="I11" i="1"/>
  <c r="I12" i="1"/>
  <c r="I13" i="1"/>
  <c r="J13" i="1" s="1"/>
  <c r="I14" i="1"/>
  <c r="J14" i="1" s="1"/>
  <c r="L14" i="1" s="1"/>
  <c r="I15" i="1"/>
  <c r="J15" i="1" s="1"/>
  <c r="L15" i="1" s="1"/>
  <c r="I16" i="1"/>
  <c r="J16" i="1" s="1"/>
  <c r="L16" i="1" s="1"/>
  <c r="I17" i="1"/>
  <c r="J17" i="1" s="1"/>
  <c r="L17" i="1" s="1"/>
  <c r="I18" i="1"/>
  <c r="J18" i="1" s="1"/>
  <c r="L18" i="1" s="1"/>
  <c r="I19" i="1"/>
  <c r="J19" i="1" s="1"/>
  <c r="L19" i="1" s="1"/>
  <c r="I20" i="1"/>
  <c r="J20" i="1" s="1"/>
  <c r="L20" i="1" s="1"/>
  <c r="I21" i="1"/>
  <c r="J21" i="1" s="1"/>
  <c r="L21" i="1" s="1"/>
  <c r="I22" i="1"/>
  <c r="J22" i="1" s="1"/>
  <c r="L22" i="1" s="1"/>
  <c r="I23" i="1"/>
  <c r="J23" i="1" s="1"/>
  <c r="L23" i="1" s="1"/>
  <c r="I24" i="1"/>
  <c r="J24" i="1" s="1"/>
  <c r="L24" i="1" s="1"/>
  <c r="I25" i="1"/>
  <c r="J25" i="1" s="1"/>
  <c r="L25" i="1" s="1"/>
  <c r="I26" i="1"/>
  <c r="J26" i="1" s="1"/>
  <c r="L26" i="1" s="1"/>
  <c r="I27" i="1"/>
  <c r="J27" i="1" s="1"/>
  <c r="L27" i="1" s="1"/>
  <c r="I28" i="1"/>
  <c r="J28" i="1" s="1"/>
  <c r="L28" i="1" s="1"/>
  <c r="I29" i="1"/>
  <c r="J29" i="1" s="1"/>
  <c r="L29" i="1" s="1"/>
  <c r="I30" i="1"/>
  <c r="J30" i="1" s="1"/>
  <c r="I31" i="1"/>
  <c r="J31" i="1" s="1"/>
  <c r="L31" i="1" s="1"/>
  <c r="I32" i="1"/>
  <c r="J32" i="1" s="1"/>
  <c r="L32" i="1" s="1"/>
  <c r="I33" i="1"/>
  <c r="J33" i="1" s="1"/>
  <c r="L33" i="1" s="1"/>
  <c r="I34" i="1"/>
  <c r="J34" i="1" s="1"/>
  <c r="L34" i="1" s="1"/>
  <c r="I35" i="1"/>
  <c r="J35" i="1" s="1"/>
  <c r="I36" i="1"/>
  <c r="J36" i="1" s="1"/>
  <c r="L36" i="1" s="1"/>
  <c r="I37" i="1"/>
  <c r="J37" i="1" s="1"/>
  <c r="L37" i="1" s="1"/>
  <c r="I38" i="1"/>
  <c r="J38" i="1" s="1"/>
  <c r="L38" i="1" s="1"/>
  <c r="I39" i="1"/>
  <c r="J39" i="1" s="1"/>
  <c r="L39" i="1" s="1"/>
  <c r="I40" i="1"/>
  <c r="J40" i="1" s="1"/>
  <c r="L40" i="1" s="1"/>
  <c r="I41" i="1"/>
  <c r="J41" i="1" s="1"/>
  <c r="L41" i="1" s="1"/>
  <c r="I42" i="1"/>
  <c r="J42" i="1" s="1"/>
  <c r="L42" i="1" s="1"/>
  <c r="I43" i="1"/>
  <c r="J43" i="1" s="1"/>
  <c r="L43" i="1" s="1"/>
  <c r="I44" i="1"/>
  <c r="J44" i="1" s="1"/>
  <c r="L44" i="1" s="1"/>
  <c r="I45" i="1"/>
  <c r="J45" i="1" s="1"/>
  <c r="L45" i="1" s="1"/>
  <c r="I46" i="1"/>
  <c r="J46" i="1" s="1"/>
  <c r="L46" i="1" s="1"/>
  <c r="I47" i="1"/>
  <c r="J47" i="1" s="1"/>
  <c r="L47" i="1" s="1"/>
  <c r="I48" i="1"/>
  <c r="J48" i="1" s="1"/>
  <c r="L48" i="1" s="1"/>
  <c r="I49" i="1"/>
  <c r="J49" i="1" s="1"/>
  <c r="L49" i="1" s="1"/>
  <c r="I50" i="1"/>
  <c r="J50" i="1" s="1"/>
  <c r="L50" i="1" s="1"/>
  <c r="I51" i="1"/>
  <c r="J51" i="1" s="1"/>
  <c r="I52" i="1"/>
  <c r="J52" i="1" s="1"/>
  <c r="L52" i="1" s="1"/>
  <c r="I53" i="1"/>
  <c r="J53" i="1" s="1"/>
  <c r="L53" i="1" s="1"/>
  <c r="I54" i="1"/>
  <c r="J54" i="1" s="1"/>
  <c r="L54" i="1" s="1"/>
  <c r="I55" i="1"/>
  <c r="J55" i="1" s="1"/>
  <c r="I56" i="1"/>
  <c r="J56" i="1" s="1"/>
  <c r="L56" i="1" s="1"/>
  <c r="I57" i="1"/>
  <c r="J57" i="1" s="1"/>
  <c r="I58" i="1"/>
  <c r="J58" i="1" s="1"/>
  <c r="L58" i="1" s="1"/>
  <c r="I59" i="1"/>
  <c r="J59" i="1" s="1"/>
  <c r="L59" i="1" s="1"/>
  <c r="I60" i="1"/>
  <c r="J60" i="1" s="1"/>
  <c r="I61" i="1"/>
  <c r="J61" i="1" s="1"/>
  <c r="I62" i="1"/>
  <c r="J62" i="1" s="1"/>
  <c r="L62" i="1" s="1"/>
  <c r="I63" i="1"/>
  <c r="J63" i="1" s="1"/>
  <c r="L63" i="1" s="1"/>
  <c r="I64" i="1"/>
  <c r="J64" i="1" s="1"/>
  <c r="L64" i="1" s="1"/>
  <c r="I65" i="1"/>
  <c r="J65" i="1" s="1"/>
  <c r="I66" i="1"/>
  <c r="J66" i="1" s="1"/>
  <c r="L66" i="1" s="1"/>
  <c r="I2" i="1"/>
  <c r="L61" i="1" l="1"/>
  <c r="L60" i="1"/>
  <c r="L65" i="1"/>
  <c r="L57" i="1"/>
  <c r="L55" i="1"/>
  <c r="L51" i="1"/>
  <c r="L35" i="1"/>
  <c r="L30" i="1"/>
  <c r="L13" i="1"/>
</calcChain>
</file>

<file path=xl/sharedStrings.xml><?xml version="1.0" encoding="utf-8"?>
<sst xmlns="http://schemas.openxmlformats.org/spreadsheetml/2006/main" count="268" uniqueCount="66">
  <si>
    <t>id</t>
  </si>
  <si>
    <t>special</t>
  </si>
  <si>
    <t>name</t>
  </si>
  <si>
    <t>class</t>
  </si>
  <si>
    <t>amount</t>
  </si>
  <si>
    <t>health</t>
  </si>
  <si>
    <t>teleport_destination</t>
  </si>
  <si>
    <t>none</t>
  </si>
  <si>
    <t>WeakScout</t>
  </si>
  <si>
    <t>Scout</t>
  </si>
  <si>
    <t>560 -1795 -78 0 90 0</t>
  </si>
  <si>
    <t>rapid</t>
  </si>
  <si>
    <t>WeakMedic</t>
  </si>
  <si>
    <t>Medic</t>
  </si>
  <si>
    <t>WeakSoldier</t>
  </si>
  <si>
    <t>Soldier</t>
  </si>
  <si>
    <t>WeakHeavy</t>
  </si>
  <si>
    <t>Heavy</t>
  </si>
  <si>
    <t>regen</t>
  </si>
  <si>
    <t>WeakSpy</t>
  </si>
  <si>
    <t>Spy</t>
  </si>
  <si>
    <t>boss</t>
  </si>
  <si>
    <t>TheDemoman</t>
  </si>
  <si>
    <t>Demoman</t>
  </si>
  <si>
    <t>LamePyro</t>
  </si>
  <si>
    <t>Pyro</t>
  </si>
  <si>
    <t>LameSniper</t>
  </si>
  <si>
    <t>Sniper</t>
  </si>
  <si>
    <t>LameDemoman</t>
  </si>
  <si>
    <t>LameHeavy</t>
  </si>
  <si>
    <t>flying</t>
  </si>
  <si>
    <t>LameSpy</t>
  </si>
  <si>
    <t>560 -1795 131 0 90 0</t>
  </si>
  <si>
    <t>LameScout</t>
  </si>
  <si>
    <t>TheEngineer</t>
  </si>
  <si>
    <t>Engineer</t>
  </si>
  <si>
    <t>BadMedic</t>
  </si>
  <si>
    <t>BadEngineer</t>
  </si>
  <si>
    <t>BadSoldier</t>
  </si>
  <si>
    <t>BadSpy</t>
  </si>
  <si>
    <t>BadScout</t>
  </si>
  <si>
    <t>TheSniper</t>
  </si>
  <si>
    <t>NewbieSniper</t>
  </si>
  <si>
    <t>NewbiePyro</t>
  </si>
  <si>
    <t>NewbieDemoman</t>
  </si>
  <si>
    <t>noKnockback</t>
  </si>
  <si>
    <t>NewbieHeavy</t>
  </si>
  <si>
    <t>NewbieScout</t>
  </si>
  <si>
    <t>TheMedic</t>
  </si>
  <si>
    <t>AverageEngineer</t>
  </si>
  <si>
    <t>AverageSoldier</t>
  </si>
  <si>
    <t>AverageMedic</t>
  </si>
  <si>
    <t>AverageScout</t>
  </si>
  <si>
    <t>AverageHeavy</t>
  </si>
  <si>
    <t>AverageSpy</t>
  </si>
  <si>
    <t>TheScout</t>
  </si>
  <si>
    <t>GoodMedic</t>
  </si>
  <si>
    <t>GoodSpy</t>
  </si>
  <si>
    <t>GoodHeavy</t>
  </si>
  <si>
    <t>GoodScout</t>
  </si>
  <si>
    <t>GoodSniper</t>
  </si>
  <si>
    <t>fatboy</t>
  </si>
  <si>
    <t>mani</t>
  </si>
  <si>
    <t>floube</t>
  </si>
  <si>
    <t>berry</t>
  </si>
  <si>
    <t>difficulty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</si>
</sst>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Tabelle1!$L$1</c:f>
              <c:strCache>
                <c:ptCount val="1"/>
                <c:pt idx="0">
                  <c:v>difficulty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Tabelle1!$A$2:$A$66</c:f>
              <c:numCache>
                <c:formatCode>General</c:formatCode>
                <c:ptCount val="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</c:numCache>
            </c:numRef>
          </c:xVal>
          <c:yVal>
            <c:numRef>
              <c:f>Tabelle1!$L$2:$L$66</c:f>
              <c:numCache>
                <c:formatCode>General</c:formatCode>
                <c:ptCount val="65"/>
                <c:pt idx="0">
                  <c:v>0.91666666666666663</c:v>
                </c:pt>
                <c:pt idx="1">
                  <c:v>1.875</c:v>
                </c:pt>
                <c:pt idx="2">
                  <c:v>2.7500000000000004</c:v>
                </c:pt>
                <c:pt idx="3">
                  <c:v>4.1708333333333334</c:v>
                </c:pt>
                <c:pt idx="4">
                  <c:v>4.9500000000000011</c:v>
                </c:pt>
                <c:pt idx="5">
                  <c:v>5</c:v>
                </c:pt>
                <c:pt idx="6">
                  <c:v>7.333333333333333</c:v>
                </c:pt>
                <c:pt idx="7">
                  <c:v>7.35</c:v>
                </c:pt>
                <c:pt idx="8">
                  <c:v>8.75</c:v>
                </c:pt>
                <c:pt idx="9">
                  <c:v>9.3041666666666671</c:v>
                </c:pt>
                <c:pt idx="10">
                  <c:v>9.6</c:v>
                </c:pt>
                <c:pt idx="11">
                  <c:v>9.6250000000000018</c:v>
                </c:pt>
                <c:pt idx="12">
                  <c:v>10.908333333333335</c:v>
                </c:pt>
                <c:pt idx="13">
                  <c:v>11.22916666666667</c:v>
                </c:pt>
                <c:pt idx="14">
                  <c:v>12.833333333333336</c:v>
                </c:pt>
                <c:pt idx="15">
                  <c:v>13.291666666666668</c:v>
                </c:pt>
                <c:pt idx="16">
                  <c:v>14.895833333333332</c:v>
                </c:pt>
                <c:pt idx="17">
                  <c:v>15.312500000000002</c:v>
                </c:pt>
                <c:pt idx="18">
                  <c:v>15.75</c:v>
                </c:pt>
                <c:pt idx="19">
                  <c:v>16.041666666666668</c:v>
                </c:pt>
                <c:pt idx="20">
                  <c:v>16.5</c:v>
                </c:pt>
                <c:pt idx="21">
                  <c:v>18</c:v>
                </c:pt>
                <c:pt idx="22">
                  <c:v>18.333333333333336</c:v>
                </c:pt>
                <c:pt idx="23">
                  <c:v>18.7</c:v>
                </c:pt>
                <c:pt idx="24">
                  <c:v>20.533333333333335</c:v>
                </c:pt>
                <c:pt idx="25">
                  <c:v>21.81666666666667</c:v>
                </c:pt>
                <c:pt idx="26">
                  <c:v>22.275000000000002</c:v>
                </c:pt>
                <c:pt idx="27">
                  <c:v>22.916666666666671</c:v>
                </c:pt>
                <c:pt idx="28">
                  <c:v>24.383333333333336</c:v>
                </c:pt>
                <c:pt idx="29">
                  <c:v>28</c:v>
                </c:pt>
                <c:pt idx="30">
                  <c:v>31.5</c:v>
                </c:pt>
                <c:pt idx="31">
                  <c:v>31.9</c:v>
                </c:pt>
                <c:pt idx="32">
                  <c:v>60</c:v>
                </c:pt>
                <c:pt idx="33">
                  <c:v>30.8</c:v>
                </c:pt>
                <c:pt idx="34">
                  <c:v>31.166666666666668</c:v>
                </c:pt>
                <c:pt idx="35">
                  <c:v>35.933333333333337</c:v>
                </c:pt>
                <c:pt idx="36">
                  <c:v>44.000000000000007</c:v>
                </c:pt>
                <c:pt idx="37">
                  <c:v>46.933333333333337</c:v>
                </c:pt>
                <c:pt idx="38">
                  <c:v>51.333333333333343</c:v>
                </c:pt>
                <c:pt idx="39">
                  <c:v>55</c:v>
                </c:pt>
                <c:pt idx="40">
                  <c:v>57.75</c:v>
                </c:pt>
                <c:pt idx="41">
                  <c:v>67.5</c:v>
                </c:pt>
                <c:pt idx="42">
                  <c:v>77.000000000000014</c:v>
                </c:pt>
                <c:pt idx="43">
                  <c:v>102</c:v>
                </c:pt>
                <c:pt idx="44">
                  <c:v>77.000000000000014</c:v>
                </c:pt>
                <c:pt idx="45">
                  <c:v>79.200000000000017</c:v>
                </c:pt>
                <c:pt idx="46">
                  <c:v>89.833333333333357</c:v>
                </c:pt>
                <c:pt idx="47">
                  <c:v>92.4</c:v>
                </c:pt>
                <c:pt idx="48">
                  <c:v>95.333333333333343</c:v>
                </c:pt>
                <c:pt idx="49">
                  <c:v>99.000000000000028</c:v>
                </c:pt>
                <c:pt idx="50">
                  <c:v>105</c:v>
                </c:pt>
                <c:pt idx="51">
                  <c:v>110</c:v>
                </c:pt>
                <c:pt idx="52">
                  <c:v>113.02083333333334</c:v>
                </c:pt>
                <c:pt idx="53">
                  <c:v>123.75</c:v>
                </c:pt>
                <c:pt idx="54">
                  <c:v>135</c:v>
                </c:pt>
                <c:pt idx="55">
                  <c:v>121</c:v>
                </c:pt>
                <c:pt idx="56">
                  <c:v>131.25</c:v>
                </c:pt>
                <c:pt idx="57">
                  <c:v>143</c:v>
                </c:pt>
                <c:pt idx="58">
                  <c:v>148.5</c:v>
                </c:pt>
                <c:pt idx="59">
                  <c:v>179.66666666666671</c:v>
                </c:pt>
                <c:pt idx="60">
                  <c:v>181.50000000000003</c:v>
                </c:pt>
                <c:pt idx="61">
                  <c:v>184.25000000000003</c:v>
                </c:pt>
                <c:pt idx="62">
                  <c:v>187.5</c:v>
                </c:pt>
                <c:pt idx="63">
                  <c:v>187.91666666666669</c:v>
                </c:pt>
                <c:pt idx="64">
                  <c:v>192.50000000000003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96640"/>
        <c:axId val="46596080"/>
      </c:scatterChart>
      <c:valAx>
        <c:axId val="4659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596080"/>
        <c:crosses val="autoZero"/>
        <c:crossBetween val="midCat"/>
      </c:valAx>
      <c:valAx>
        <c:axId val="4659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59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752475</xdr:colOff>
      <xdr:row>1</xdr:row>
      <xdr:rowOff>4762</xdr:rowOff>
    </xdr:from>
    <xdr:to>
      <xdr:col>18</xdr:col>
      <xdr:colOff>752475</xdr:colOff>
      <xdr:row>15</xdr:row>
      <xdr:rowOff>80962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topLeftCell="A37" workbookViewId="0">
      <selection activeCell="I66" sqref="I66"/>
    </sheetView>
  </sheetViews>
  <sheetFormatPr baseColWidth="10" defaultRowHeight="15" x14ac:dyDescent="0.25"/>
  <cols>
    <col min="1" max="1" width="3" bestFit="1" customWidth="1"/>
    <col min="2" max="2" width="12.5703125" bestFit="1" customWidth="1"/>
    <col min="3" max="3" width="17.28515625" bestFit="1" customWidth="1"/>
    <col min="4" max="4" width="10.140625" bestFit="1" customWidth="1"/>
    <col min="5" max="5" width="7.85546875" bestFit="1" customWidth="1"/>
    <col min="6" max="6" width="8" bestFit="1" customWidth="1"/>
    <col min="7" max="7" width="19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L1" t="s">
        <v>65</v>
      </c>
    </row>
    <row r="2" spans="1:12" x14ac:dyDescent="0.25">
      <c r="A2">
        <v>1</v>
      </c>
      <c r="B2" t="s">
        <v>7</v>
      </c>
      <c r="C2" t="s">
        <v>8</v>
      </c>
      <c r="D2" t="s">
        <v>9</v>
      </c>
      <c r="E2">
        <v>4</v>
      </c>
      <c r="F2">
        <v>125</v>
      </c>
      <c r="G2" t="s">
        <v>10</v>
      </c>
      <c r="I2">
        <f>E2*F2</f>
        <v>500</v>
      </c>
      <c r="J2">
        <f>I2*IF(B2="none",1.1,IF(B2="rapid",1.5,IF(B2="regen",1.25,IF(B2="flying",1.75,IF(B2="boss",1.5,1.1)))))</f>
        <v>550</v>
      </c>
      <c r="K2">
        <f>E2*100+IF(B2="boss",400,0)</f>
        <v>400</v>
      </c>
      <c r="L2">
        <f>J2/(K2*0.5)*IF(B2="boss",E2/2,E2/12)</f>
        <v>0.91666666666666663</v>
      </c>
    </row>
    <row r="3" spans="1:12" x14ac:dyDescent="0.25">
      <c r="A3">
        <v>2</v>
      </c>
      <c r="B3" t="s">
        <v>11</v>
      </c>
      <c r="C3" t="s">
        <v>12</v>
      </c>
      <c r="D3" t="s">
        <v>13</v>
      </c>
      <c r="E3">
        <v>5</v>
      </c>
      <c r="F3">
        <v>150</v>
      </c>
      <c r="G3" t="s">
        <v>10</v>
      </c>
      <c r="I3">
        <f t="shared" ref="I3:I66" si="0">E3*F3</f>
        <v>750</v>
      </c>
      <c r="J3">
        <f t="shared" ref="J3:J66" si="1">I3*IF(B3="none",1.1,IF(B3="rapid",1.5,IF(B3="regen",1.25,IF(B3="flying",1.75,IF(B3="boss",1.5,1.1)))))</f>
        <v>1125</v>
      </c>
      <c r="K3">
        <f t="shared" ref="K3:K66" si="2">E3*100+IF(B3="boss",400,0)</f>
        <v>500</v>
      </c>
      <c r="L3">
        <f t="shared" ref="L3:L66" si="3">J3/(K3*0.5)*IF(B3="boss",E3/2,E3/12)</f>
        <v>1.875</v>
      </c>
    </row>
    <row r="4" spans="1:12" x14ac:dyDescent="0.25">
      <c r="A4">
        <v>3</v>
      </c>
      <c r="B4" t="s">
        <v>7</v>
      </c>
      <c r="C4" t="s">
        <v>14</v>
      </c>
      <c r="D4" t="s">
        <v>15</v>
      </c>
      <c r="E4">
        <v>5</v>
      </c>
      <c r="F4">
        <v>300</v>
      </c>
      <c r="G4" t="s">
        <v>10</v>
      </c>
      <c r="I4">
        <f t="shared" si="0"/>
        <v>1500</v>
      </c>
      <c r="J4">
        <f t="shared" si="1"/>
        <v>1650.0000000000002</v>
      </c>
      <c r="K4">
        <f t="shared" si="2"/>
        <v>500</v>
      </c>
      <c r="L4">
        <f t="shared" si="3"/>
        <v>2.7500000000000004</v>
      </c>
    </row>
    <row r="5" spans="1:12" x14ac:dyDescent="0.25">
      <c r="A5">
        <v>4</v>
      </c>
      <c r="B5" t="s">
        <v>7</v>
      </c>
      <c r="C5" t="s">
        <v>8</v>
      </c>
      <c r="D5" t="s">
        <v>9</v>
      </c>
      <c r="E5">
        <v>7</v>
      </c>
      <c r="F5">
        <v>325</v>
      </c>
      <c r="G5" t="s">
        <v>10</v>
      </c>
      <c r="I5">
        <f t="shared" si="0"/>
        <v>2275</v>
      </c>
      <c r="J5">
        <f t="shared" si="1"/>
        <v>2502.5</v>
      </c>
      <c r="K5">
        <f t="shared" si="2"/>
        <v>700</v>
      </c>
      <c r="L5">
        <f t="shared" si="3"/>
        <v>4.1708333333333334</v>
      </c>
    </row>
    <row r="6" spans="1:12" x14ac:dyDescent="0.25">
      <c r="A6">
        <v>5</v>
      </c>
      <c r="B6" t="s">
        <v>7</v>
      </c>
      <c r="C6" t="s">
        <v>16</v>
      </c>
      <c r="D6" t="s">
        <v>17</v>
      </c>
      <c r="E6">
        <v>6</v>
      </c>
      <c r="F6">
        <v>450</v>
      </c>
      <c r="G6" t="s">
        <v>10</v>
      </c>
      <c r="I6">
        <f t="shared" si="0"/>
        <v>2700</v>
      </c>
      <c r="J6">
        <f t="shared" si="1"/>
        <v>2970.0000000000005</v>
      </c>
      <c r="K6">
        <f t="shared" si="2"/>
        <v>600</v>
      </c>
      <c r="L6">
        <f t="shared" si="3"/>
        <v>4.9500000000000011</v>
      </c>
    </row>
    <row r="7" spans="1:12" x14ac:dyDescent="0.25">
      <c r="A7">
        <v>6</v>
      </c>
      <c r="B7" t="s">
        <v>18</v>
      </c>
      <c r="C7" t="s">
        <v>14</v>
      </c>
      <c r="D7" t="s">
        <v>15</v>
      </c>
      <c r="E7">
        <v>6</v>
      </c>
      <c r="F7">
        <v>400</v>
      </c>
      <c r="G7" t="s">
        <v>10</v>
      </c>
      <c r="I7">
        <f t="shared" si="0"/>
        <v>2400</v>
      </c>
      <c r="J7">
        <f t="shared" si="1"/>
        <v>3000</v>
      </c>
      <c r="K7">
        <f t="shared" si="2"/>
        <v>600</v>
      </c>
      <c r="L7">
        <f t="shared" si="3"/>
        <v>5</v>
      </c>
    </row>
    <row r="8" spans="1:12" x14ac:dyDescent="0.25">
      <c r="A8">
        <v>7</v>
      </c>
      <c r="B8" t="s">
        <v>7</v>
      </c>
      <c r="C8" t="s">
        <v>16</v>
      </c>
      <c r="D8" t="s">
        <v>17</v>
      </c>
      <c r="E8">
        <v>8</v>
      </c>
      <c r="F8">
        <v>500</v>
      </c>
      <c r="G8" t="s">
        <v>10</v>
      </c>
      <c r="I8">
        <f t="shared" si="0"/>
        <v>4000</v>
      </c>
      <c r="J8">
        <f t="shared" si="1"/>
        <v>4400</v>
      </c>
      <c r="K8">
        <f t="shared" si="2"/>
        <v>800</v>
      </c>
      <c r="L8">
        <f t="shared" si="3"/>
        <v>7.333333333333333</v>
      </c>
    </row>
    <row r="9" spans="1:12" x14ac:dyDescent="0.25">
      <c r="A9">
        <v>8</v>
      </c>
      <c r="B9" t="s">
        <v>30</v>
      </c>
      <c r="C9" t="s">
        <v>19</v>
      </c>
      <c r="D9" t="s">
        <v>20</v>
      </c>
      <c r="E9">
        <v>6</v>
      </c>
      <c r="F9">
        <v>420</v>
      </c>
      <c r="G9" t="s">
        <v>32</v>
      </c>
      <c r="I9">
        <f t="shared" si="0"/>
        <v>2520</v>
      </c>
      <c r="J9">
        <f t="shared" si="1"/>
        <v>4410</v>
      </c>
      <c r="K9">
        <f t="shared" si="2"/>
        <v>600</v>
      </c>
      <c r="L9">
        <f t="shared" si="3"/>
        <v>7.35</v>
      </c>
    </row>
    <row r="10" spans="1:12" x14ac:dyDescent="0.25">
      <c r="A10">
        <v>9</v>
      </c>
      <c r="B10" t="s">
        <v>11</v>
      </c>
      <c r="C10" t="s">
        <v>8</v>
      </c>
      <c r="D10" t="s">
        <v>9</v>
      </c>
      <c r="E10">
        <v>7</v>
      </c>
      <c r="F10">
        <v>500</v>
      </c>
      <c r="G10" t="s">
        <v>10</v>
      </c>
      <c r="I10">
        <f t="shared" si="0"/>
        <v>3500</v>
      </c>
      <c r="J10">
        <f t="shared" si="1"/>
        <v>5250</v>
      </c>
      <c r="K10">
        <f t="shared" si="2"/>
        <v>700</v>
      </c>
      <c r="L10">
        <f t="shared" si="3"/>
        <v>8.75</v>
      </c>
    </row>
    <row r="11" spans="1:12" x14ac:dyDescent="0.25">
      <c r="A11">
        <v>10</v>
      </c>
      <c r="B11" t="s">
        <v>7</v>
      </c>
      <c r="C11" t="s">
        <v>16</v>
      </c>
      <c r="D11" t="s">
        <v>17</v>
      </c>
      <c r="E11">
        <v>7</v>
      </c>
      <c r="F11">
        <v>725</v>
      </c>
      <c r="G11" t="s">
        <v>10</v>
      </c>
      <c r="I11">
        <f t="shared" si="0"/>
        <v>5075</v>
      </c>
      <c r="J11">
        <f t="shared" si="1"/>
        <v>5582.5</v>
      </c>
      <c r="K11">
        <f t="shared" si="2"/>
        <v>700</v>
      </c>
      <c r="L11">
        <f t="shared" si="3"/>
        <v>9.3041666666666671</v>
      </c>
    </row>
    <row r="12" spans="1:12" x14ac:dyDescent="0.25">
      <c r="A12">
        <v>11</v>
      </c>
      <c r="B12" t="s">
        <v>21</v>
      </c>
      <c r="C12" t="s">
        <v>22</v>
      </c>
      <c r="D12" t="s">
        <v>23</v>
      </c>
      <c r="E12">
        <v>1</v>
      </c>
      <c r="F12">
        <v>3200</v>
      </c>
      <c r="G12" t="s">
        <v>10</v>
      </c>
      <c r="I12">
        <f t="shared" si="0"/>
        <v>3200</v>
      </c>
      <c r="J12">
        <f t="shared" si="1"/>
        <v>4800</v>
      </c>
      <c r="K12">
        <f t="shared" si="2"/>
        <v>500</v>
      </c>
      <c r="L12">
        <f t="shared" si="3"/>
        <v>9.6</v>
      </c>
    </row>
    <row r="13" spans="1:12" x14ac:dyDescent="0.25">
      <c r="A13">
        <v>12</v>
      </c>
      <c r="B13" t="s">
        <v>7</v>
      </c>
      <c r="C13" t="s">
        <v>24</v>
      </c>
      <c r="D13" t="s">
        <v>25</v>
      </c>
      <c r="E13">
        <v>6</v>
      </c>
      <c r="F13">
        <v>875</v>
      </c>
      <c r="G13" t="s">
        <v>10</v>
      </c>
      <c r="I13">
        <f t="shared" si="0"/>
        <v>5250</v>
      </c>
      <c r="J13">
        <f t="shared" si="1"/>
        <v>5775.0000000000009</v>
      </c>
      <c r="K13">
        <f t="shared" si="2"/>
        <v>600</v>
      </c>
      <c r="L13">
        <f t="shared" si="3"/>
        <v>9.6250000000000018</v>
      </c>
    </row>
    <row r="14" spans="1:12" x14ac:dyDescent="0.25">
      <c r="A14">
        <v>13</v>
      </c>
      <c r="B14" t="s">
        <v>7</v>
      </c>
      <c r="C14" t="s">
        <v>26</v>
      </c>
      <c r="D14" t="s">
        <v>27</v>
      </c>
      <c r="E14">
        <v>7</v>
      </c>
      <c r="F14">
        <v>850</v>
      </c>
      <c r="G14" t="s">
        <v>10</v>
      </c>
      <c r="I14">
        <f t="shared" si="0"/>
        <v>5950</v>
      </c>
      <c r="J14">
        <f t="shared" si="1"/>
        <v>6545.0000000000009</v>
      </c>
      <c r="K14">
        <f t="shared" si="2"/>
        <v>700</v>
      </c>
      <c r="L14">
        <f t="shared" si="3"/>
        <v>10.908333333333335</v>
      </c>
    </row>
    <row r="15" spans="1:12" x14ac:dyDescent="0.25">
      <c r="A15">
        <v>14</v>
      </c>
      <c r="B15" t="s">
        <v>7</v>
      </c>
      <c r="C15" t="s">
        <v>28</v>
      </c>
      <c r="D15" t="s">
        <v>23</v>
      </c>
      <c r="E15">
        <v>7</v>
      </c>
      <c r="F15">
        <v>875</v>
      </c>
      <c r="G15" t="s">
        <v>10</v>
      </c>
      <c r="I15">
        <f t="shared" si="0"/>
        <v>6125</v>
      </c>
      <c r="J15">
        <f t="shared" si="1"/>
        <v>6737.5000000000009</v>
      </c>
      <c r="K15">
        <f t="shared" si="2"/>
        <v>700</v>
      </c>
      <c r="L15">
        <f t="shared" si="3"/>
        <v>11.22916666666667</v>
      </c>
    </row>
    <row r="16" spans="1:12" x14ac:dyDescent="0.25">
      <c r="A16">
        <v>15</v>
      </c>
      <c r="B16" t="s">
        <v>7</v>
      </c>
      <c r="C16" t="s">
        <v>24</v>
      </c>
      <c r="D16" t="s">
        <v>25</v>
      </c>
      <c r="E16">
        <v>8</v>
      </c>
      <c r="F16">
        <v>875</v>
      </c>
      <c r="G16" t="s">
        <v>10</v>
      </c>
      <c r="I16">
        <f t="shared" si="0"/>
        <v>7000</v>
      </c>
      <c r="J16">
        <f t="shared" si="1"/>
        <v>7700.0000000000009</v>
      </c>
      <c r="K16">
        <f t="shared" si="2"/>
        <v>800</v>
      </c>
      <c r="L16">
        <f t="shared" si="3"/>
        <v>12.833333333333336</v>
      </c>
    </row>
    <row r="17" spans="1:12" x14ac:dyDescent="0.25">
      <c r="A17">
        <v>16</v>
      </c>
      <c r="B17" t="s">
        <v>7</v>
      </c>
      <c r="C17" t="s">
        <v>26</v>
      </c>
      <c r="D17" t="s">
        <v>27</v>
      </c>
      <c r="E17">
        <v>10</v>
      </c>
      <c r="F17">
        <v>725</v>
      </c>
      <c r="G17" t="s">
        <v>10</v>
      </c>
      <c r="I17">
        <f t="shared" si="0"/>
        <v>7250</v>
      </c>
      <c r="J17">
        <f t="shared" si="1"/>
        <v>7975.0000000000009</v>
      </c>
      <c r="K17">
        <f t="shared" si="2"/>
        <v>1000</v>
      </c>
      <c r="L17">
        <f t="shared" si="3"/>
        <v>13.291666666666668</v>
      </c>
    </row>
    <row r="18" spans="1:12" x14ac:dyDescent="0.25">
      <c r="A18">
        <v>17</v>
      </c>
      <c r="B18" t="s">
        <v>18</v>
      </c>
      <c r="C18" t="s">
        <v>29</v>
      </c>
      <c r="D18" t="s">
        <v>17</v>
      </c>
      <c r="E18">
        <v>11</v>
      </c>
      <c r="F18">
        <v>650</v>
      </c>
      <c r="G18" t="s">
        <v>10</v>
      </c>
      <c r="I18">
        <f t="shared" si="0"/>
        <v>7150</v>
      </c>
      <c r="J18">
        <f t="shared" si="1"/>
        <v>8937.5</v>
      </c>
      <c r="K18">
        <f t="shared" si="2"/>
        <v>1100</v>
      </c>
      <c r="L18">
        <f t="shared" si="3"/>
        <v>14.895833333333332</v>
      </c>
    </row>
    <row r="19" spans="1:12" x14ac:dyDescent="0.25">
      <c r="A19">
        <v>18</v>
      </c>
      <c r="B19" t="s">
        <v>30</v>
      </c>
      <c r="C19" t="s">
        <v>31</v>
      </c>
      <c r="D19" t="s">
        <v>20</v>
      </c>
      <c r="E19">
        <v>7</v>
      </c>
      <c r="F19">
        <v>750</v>
      </c>
      <c r="G19" t="s">
        <v>32</v>
      </c>
      <c r="I19">
        <f t="shared" si="0"/>
        <v>5250</v>
      </c>
      <c r="J19">
        <f t="shared" si="1"/>
        <v>9187.5</v>
      </c>
      <c r="K19">
        <f t="shared" si="2"/>
        <v>700</v>
      </c>
      <c r="L19">
        <f t="shared" si="3"/>
        <v>15.312500000000002</v>
      </c>
    </row>
    <row r="20" spans="1:12" x14ac:dyDescent="0.25">
      <c r="A20">
        <v>19</v>
      </c>
      <c r="B20" t="s">
        <v>11</v>
      </c>
      <c r="C20" t="s">
        <v>33</v>
      </c>
      <c r="D20" t="s">
        <v>9</v>
      </c>
      <c r="E20">
        <v>9</v>
      </c>
      <c r="F20">
        <v>700</v>
      </c>
      <c r="G20" t="s">
        <v>10</v>
      </c>
      <c r="I20">
        <f t="shared" si="0"/>
        <v>6300</v>
      </c>
      <c r="J20">
        <f t="shared" si="1"/>
        <v>9450</v>
      </c>
      <c r="K20">
        <f t="shared" si="2"/>
        <v>900</v>
      </c>
      <c r="L20">
        <f t="shared" si="3"/>
        <v>15.75</v>
      </c>
    </row>
    <row r="21" spans="1:12" x14ac:dyDescent="0.25">
      <c r="A21">
        <v>20</v>
      </c>
      <c r="B21" t="s">
        <v>7</v>
      </c>
      <c r="C21" t="s">
        <v>26</v>
      </c>
      <c r="D21" t="s">
        <v>27</v>
      </c>
      <c r="E21">
        <v>10</v>
      </c>
      <c r="F21">
        <v>875</v>
      </c>
      <c r="G21" t="s">
        <v>10</v>
      </c>
      <c r="I21">
        <f t="shared" si="0"/>
        <v>8750</v>
      </c>
      <c r="J21">
        <f t="shared" si="1"/>
        <v>9625</v>
      </c>
      <c r="K21">
        <f t="shared" si="2"/>
        <v>1000</v>
      </c>
      <c r="L21">
        <f t="shared" si="3"/>
        <v>16.041666666666668</v>
      </c>
    </row>
    <row r="22" spans="1:12" x14ac:dyDescent="0.25">
      <c r="A22">
        <v>21</v>
      </c>
      <c r="B22" t="s">
        <v>7</v>
      </c>
      <c r="C22" t="s">
        <v>24</v>
      </c>
      <c r="D22" t="s">
        <v>25</v>
      </c>
      <c r="E22">
        <v>10</v>
      </c>
      <c r="F22">
        <v>900</v>
      </c>
      <c r="G22" t="s">
        <v>10</v>
      </c>
      <c r="I22">
        <f t="shared" si="0"/>
        <v>9000</v>
      </c>
      <c r="J22">
        <f t="shared" si="1"/>
        <v>9900</v>
      </c>
      <c r="K22">
        <f t="shared" si="2"/>
        <v>1000</v>
      </c>
      <c r="L22">
        <f t="shared" si="3"/>
        <v>16.5</v>
      </c>
    </row>
    <row r="23" spans="1:12" x14ac:dyDescent="0.25">
      <c r="A23">
        <v>22</v>
      </c>
      <c r="B23" t="s">
        <v>21</v>
      </c>
      <c r="C23" t="s">
        <v>34</v>
      </c>
      <c r="D23" t="s">
        <v>35</v>
      </c>
      <c r="E23">
        <v>1</v>
      </c>
      <c r="F23">
        <v>6000</v>
      </c>
      <c r="G23" t="s">
        <v>10</v>
      </c>
      <c r="I23">
        <f t="shared" si="0"/>
        <v>6000</v>
      </c>
      <c r="J23">
        <f t="shared" si="1"/>
        <v>9000</v>
      </c>
      <c r="K23">
        <f t="shared" si="2"/>
        <v>500</v>
      </c>
      <c r="L23">
        <f t="shared" si="3"/>
        <v>18</v>
      </c>
    </row>
    <row r="24" spans="1:12" x14ac:dyDescent="0.25">
      <c r="A24">
        <v>23</v>
      </c>
      <c r="B24" t="s">
        <v>7</v>
      </c>
      <c r="C24" t="s">
        <v>36</v>
      </c>
      <c r="D24" t="s">
        <v>13</v>
      </c>
      <c r="E24">
        <v>5</v>
      </c>
      <c r="F24">
        <v>2000</v>
      </c>
      <c r="G24" t="s">
        <v>10</v>
      </c>
      <c r="I24">
        <f t="shared" si="0"/>
        <v>10000</v>
      </c>
      <c r="J24">
        <f t="shared" si="1"/>
        <v>11000</v>
      </c>
      <c r="K24">
        <f t="shared" si="2"/>
        <v>500</v>
      </c>
      <c r="L24">
        <f t="shared" si="3"/>
        <v>18.333333333333336</v>
      </c>
    </row>
    <row r="25" spans="1:12" x14ac:dyDescent="0.25">
      <c r="A25">
        <v>24</v>
      </c>
      <c r="B25" t="s">
        <v>7</v>
      </c>
      <c r="C25" t="s">
        <v>37</v>
      </c>
      <c r="D25" t="s">
        <v>35</v>
      </c>
      <c r="E25">
        <v>6</v>
      </c>
      <c r="F25">
        <v>1700</v>
      </c>
      <c r="G25" t="s">
        <v>10</v>
      </c>
      <c r="I25">
        <f t="shared" si="0"/>
        <v>10200</v>
      </c>
      <c r="J25">
        <f t="shared" si="1"/>
        <v>11220</v>
      </c>
      <c r="K25">
        <f t="shared" si="2"/>
        <v>600</v>
      </c>
      <c r="L25">
        <f t="shared" si="3"/>
        <v>18.7</v>
      </c>
    </row>
    <row r="26" spans="1:12" x14ac:dyDescent="0.25">
      <c r="A26">
        <v>25</v>
      </c>
      <c r="B26" t="s">
        <v>7</v>
      </c>
      <c r="C26" t="s">
        <v>38</v>
      </c>
      <c r="D26" t="s">
        <v>15</v>
      </c>
      <c r="E26">
        <v>7</v>
      </c>
      <c r="F26">
        <v>1600</v>
      </c>
      <c r="G26" t="s">
        <v>10</v>
      </c>
      <c r="I26">
        <f t="shared" si="0"/>
        <v>11200</v>
      </c>
      <c r="J26">
        <f t="shared" si="1"/>
        <v>12320.000000000002</v>
      </c>
      <c r="K26">
        <f t="shared" si="2"/>
        <v>700</v>
      </c>
      <c r="L26">
        <f t="shared" si="3"/>
        <v>20.533333333333335</v>
      </c>
    </row>
    <row r="27" spans="1:12" x14ac:dyDescent="0.25">
      <c r="A27">
        <v>26</v>
      </c>
      <c r="B27" t="s">
        <v>7</v>
      </c>
      <c r="C27" t="s">
        <v>36</v>
      </c>
      <c r="D27" t="s">
        <v>13</v>
      </c>
      <c r="E27">
        <v>7</v>
      </c>
      <c r="F27">
        <v>1700</v>
      </c>
      <c r="G27" t="s">
        <v>10</v>
      </c>
      <c r="I27">
        <f t="shared" si="0"/>
        <v>11900</v>
      </c>
      <c r="J27">
        <f t="shared" si="1"/>
        <v>13090.000000000002</v>
      </c>
      <c r="K27">
        <f t="shared" si="2"/>
        <v>700</v>
      </c>
      <c r="L27">
        <f t="shared" si="3"/>
        <v>21.81666666666667</v>
      </c>
    </row>
    <row r="28" spans="1:12" x14ac:dyDescent="0.25">
      <c r="A28">
        <v>27</v>
      </c>
      <c r="B28" t="s">
        <v>7</v>
      </c>
      <c r="C28" t="s">
        <v>37</v>
      </c>
      <c r="D28" t="s">
        <v>35</v>
      </c>
      <c r="E28">
        <v>9</v>
      </c>
      <c r="F28">
        <v>1350</v>
      </c>
      <c r="G28" t="s">
        <v>10</v>
      </c>
      <c r="I28">
        <f t="shared" si="0"/>
        <v>12150</v>
      </c>
      <c r="J28">
        <f t="shared" si="1"/>
        <v>13365.000000000002</v>
      </c>
      <c r="K28">
        <f t="shared" si="2"/>
        <v>900</v>
      </c>
      <c r="L28">
        <f t="shared" si="3"/>
        <v>22.275000000000002</v>
      </c>
    </row>
    <row r="29" spans="1:12" x14ac:dyDescent="0.25">
      <c r="A29">
        <v>28</v>
      </c>
      <c r="B29" t="s">
        <v>7</v>
      </c>
      <c r="C29" t="s">
        <v>38</v>
      </c>
      <c r="D29" t="s">
        <v>15</v>
      </c>
      <c r="E29">
        <v>10</v>
      </c>
      <c r="F29">
        <v>1250</v>
      </c>
      <c r="G29" t="s">
        <v>10</v>
      </c>
      <c r="I29">
        <f t="shared" si="0"/>
        <v>12500</v>
      </c>
      <c r="J29">
        <f t="shared" si="1"/>
        <v>13750.000000000002</v>
      </c>
      <c r="K29">
        <f t="shared" si="2"/>
        <v>1000</v>
      </c>
      <c r="L29">
        <f t="shared" si="3"/>
        <v>22.916666666666671</v>
      </c>
    </row>
    <row r="30" spans="1:12" x14ac:dyDescent="0.25">
      <c r="A30">
        <v>29</v>
      </c>
      <c r="B30" t="s">
        <v>7</v>
      </c>
      <c r="C30" t="s">
        <v>36</v>
      </c>
      <c r="D30" t="s">
        <v>13</v>
      </c>
      <c r="E30">
        <v>7</v>
      </c>
      <c r="F30">
        <v>1900</v>
      </c>
      <c r="G30" t="s">
        <v>10</v>
      </c>
      <c r="I30">
        <f t="shared" si="0"/>
        <v>13300</v>
      </c>
      <c r="J30">
        <f t="shared" si="1"/>
        <v>14630.000000000002</v>
      </c>
      <c r="K30">
        <f t="shared" si="2"/>
        <v>700</v>
      </c>
      <c r="L30">
        <f t="shared" si="3"/>
        <v>24.383333333333336</v>
      </c>
    </row>
    <row r="31" spans="1:12" x14ac:dyDescent="0.25">
      <c r="A31">
        <v>30</v>
      </c>
      <c r="B31" t="s">
        <v>30</v>
      </c>
      <c r="C31" t="s">
        <v>39</v>
      </c>
      <c r="D31" t="s">
        <v>20</v>
      </c>
      <c r="E31">
        <v>6</v>
      </c>
      <c r="F31">
        <v>1600</v>
      </c>
      <c r="G31" t="s">
        <v>32</v>
      </c>
      <c r="I31">
        <f t="shared" si="0"/>
        <v>9600</v>
      </c>
      <c r="J31">
        <f t="shared" si="1"/>
        <v>16800</v>
      </c>
      <c r="K31">
        <f t="shared" si="2"/>
        <v>600</v>
      </c>
      <c r="L31">
        <f t="shared" si="3"/>
        <v>28</v>
      </c>
    </row>
    <row r="32" spans="1:12" x14ac:dyDescent="0.25">
      <c r="A32">
        <v>31</v>
      </c>
      <c r="B32" t="s">
        <v>11</v>
      </c>
      <c r="C32" t="s">
        <v>40</v>
      </c>
      <c r="D32" t="s">
        <v>9</v>
      </c>
      <c r="E32">
        <v>9</v>
      </c>
      <c r="F32">
        <v>1400</v>
      </c>
      <c r="G32" t="s">
        <v>10</v>
      </c>
      <c r="I32">
        <f t="shared" si="0"/>
        <v>12600</v>
      </c>
      <c r="J32">
        <f t="shared" si="1"/>
        <v>18900</v>
      </c>
      <c r="K32">
        <f t="shared" si="2"/>
        <v>900</v>
      </c>
      <c r="L32">
        <f t="shared" si="3"/>
        <v>31.5</v>
      </c>
    </row>
    <row r="33" spans="1:12" x14ac:dyDescent="0.25">
      <c r="A33">
        <v>32</v>
      </c>
      <c r="B33" t="s">
        <v>7</v>
      </c>
      <c r="C33" t="s">
        <v>38</v>
      </c>
      <c r="D33" t="s">
        <v>15</v>
      </c>
      <c r="E33">
        <v>12</v>
      </c>
      <c r="F33">
        <v>1450</v>
      </c>
      <c r="G33" t="s">
        <v>10</v>
      </c>
      <c r="I33">
        <f t="shared" si="0"/>
        <v>17400</v>
      </c>
      <c r="J33">
        <f t="shared" si="1"/>
        <v>19140</v>
      </c>
      <c r="K33">
        <f t="shared" si="2"/>
        <v>1200</v>
      </c>
      <c r="L33">
        <f t="shared" si="3"/>
        <v>31.9</v>
      </c>
    </row>
    <row r="34" spans="1:12" x14ac:dyDescent="0.25">
      <c r="A34">
        <v>33</v>
      </c>
      <c r="B34" t="s">
        <v>21</v>
      </c>
      <c r="C34" t="s">
        <v>41</v>
      </c>
      <c r="D34" t="s">
        <v>27</v>
      </c>
      <c r="E34">
        <v>1</v>
      </c>
      <c r="F34">
        <v>20000</v>
      </c>
      <c r="G34" t="s">
        <v>10</v>
      </c>
      <c r="I34">
        <f t="shared" si="0"/>
        <v>20000</v>
      </c>
      <c r="J34">
        <f t="shared" si="1"/>
        <v>30000</v>
      </c>
      <c r="K34">
        <f t="shared" si="2"/>
        <v>500</v>
      </c>
      <c r="L34">
        <f t="shared" si="3"/>
        <v>60</v>
      </c>
    </row>
    <row r="35" spans="1:12" x14ac:dyDescent="0.25">
      <c r="A35">
        <v>34</v>
      </c>
      <c r="B35" t="s">
        <v>7</v>
      </c>
      <c r="C35" t="s">
        <v>42</v>
      </c>
      <c r="D35" t="s">
        <v>27</v>
      </c>
      <c r="E35">
        <v>6</v>
      </c>
      <c r="F35">
        <v>2800</v>
      </c>
      <c r="G35" t="s">
        <v>10</v>
      </c>
      <c r="I35">
        <f t="shared" si="0"/>
        <v>16800</v>
      </c>
      <c r="J35">
        <f t="shared" si="1"/>
        <v>18480</v>
      </c>
      <c r="K35">
        <f t="shared" si="2"/>
        <v>600</v>
      </c>
      <c r="L35">
        <f t="shared" si="3"/>
        <v>30.8</v>
      </c>
    </row>
    <row r="36" spans="1:12" x14ac:dyDescent="0.25">
      <c r="A36">
        <v>35</v>
      </c>
      <c r="B36" t="s">
        <v>7</v>
      </c>
      <c r="C36" t="s">
        <v>43</v>
      </c>
      <c r="D36" t="s">
        <v>25</v>
      </c>
      <c r="E36">
        <v>5</v>
      </c>
      <c r="F36">
        <v>3400</v>
      </c>
      <c r="G36" t="s">
        <v>10</v>
      </c>
      <c r="I36">
        <f t="shared" si="0"/>
        <v>17000</v>
      </c>
      <c r="J36">
        <f t="shared" si="1"/>
        <v>18700</v>
      </c>
      <c r="K36">
        <f t="shared" si="2"/>
        <v>500</v>
      </c>
      <c r="L36">
        <f t="shared" si="3"/>
        <v>31.166666666666668</v>
      </c>
    </row>
    <row r="37" spans="1:12" x14ac:dyDescent="0.25">
      <c r="A37">
        <v>36</v>
      </c>
      <c r="B37" t="s">
        <v>7</v>
      </c>
      <c r="C37" t="s">
        <v>44</v>
      </c>
      <c r="D37" t="s">
        <v>23</v>
      </c>
      <c r="E37">
        <v>7</v>
      </c>
      <c r="F37">
        <v>2800</v>
      </c>
      <c r="G37" t="s">
        <v>10</v>
      </c>
      <c r="I37">
        <f t="shared" si="0"/>
        <v>19600</v>
      </c>
      <c r="J37">
        <f t="shared" si="1"/>
        <v>21560</v>
      </c>
      <c r="K37">
        <f t="shared" si="2"/>
        <v>700</v>
      </c>
      <c r="L37">
        <f t="shared" si="3"/>
        <v>35.933333333333337</v>
      </c>
    </row>
    <row r="38" spans="1:12" x14ac:dyDescent="0.25">
      <c r="A38">
        <v>37</v>
      </c>
      <c r="B38" t="s">
        <v>7</v>
      </c>
      <c r="C38" t="s">
        <v>42</v>
      </c>
      <c r="D38" t="s">
        <v>27</v>
      </c>
      <c r="E38">
        <v>8</v>
      </c>
      <c r="F38">
        <v>3000</v>
      </c>
      <c r="G38" t="s">
        <v>10</v>
      </c>
      <c r="I38">
        <f t="shared" si="0"/>
        <v>24000</v>
      </c>
      <c r="J38">
        <f t="shared" si="1"/>
        <v>26400.000000000004</v>
      </c>
      <c r="K38">
        <f t="shared" si="2"/>
        <v>800</v>
      </c>
      <c r="L38">
        <f t="shared" si="3"/>
        <v>44.000000000000007</v>
      </c>
    </row>
    <row r="39" spans="1:12" x14ac:dyDescent="0.25">
      <c r="A39">
        <v>38</v>
      </c>
      <c r="B39" t="s">
        <v>7</v>
      </c>
      <c r="C39" t="s">
        <v>43</v>
      </c>
      <c r="D39" t="s">
        <v>25</v>
      </c>
      <c r="E39">
        <v>8</v>
      </c>
      <c r="F39">
        <v>3200</v>
      </c>
      <c r="G39" t="s">
        <v>10</v>
      </c>
      <c r="I39">
        <f t="shared" si="0"/>
        <v>25600</v>
      </c>
      <c r="J39">
        <f t="shared" si="1"/>
        <v>28160.000000000004</v>
      </c>
      <c r="K39">
        <f t="shared" si="2"/>
        <v>800</v>
      </c>
      <c r="L39">
        <f t="shared" si="3"/>
        <v>46.933333333333337</v>
      </c>
    </row>
    <row r="40" spans="1:12" x14ac:dyDescent="0.25">
      <c r="A40">
        <v>39</v>
      </c>
      <c r="B40" t="s">
        <v>7</v>
      </c>
      <c r="C40" t="s">
        <v>44</v>
      </c>
      <c r="D40" t="s">
        <v>23</v>
      </c>
      <c r="E40">
        <v>10</v>
      </c>
      <c r="F40">
        <v>2800</v>
      </c>
      <c r="G40" t="s">
        <v>10</v>
      </c>
      <c r="I40">
        <f t="shared" si="0"/>
        <v>28000</v>
      </c>
      <c r="J40">
        <f t="shared" si="1"/>
        <v>30800.000000000004</v>
      </c>
      <c r="K40">
        <f t="shared" si="2"/>
        <v>1000</v>
      </c>
      <c r="L40">
        <f t="shared" si="3"/>
        <v>51.333333333333343</v>
      </c>
    </row>
    <row r="41" spans="1:12" x14ac:dyDescent="0.25">
      <c r="A41">
        <v>40</v>
      </c>
      <c r="B41" t="s">
        <v>7</v>
      </c>
      <c r="C41" t="s">
        <v>42</v>
      </c>
      <c r="D41" t="s">
        <v>27</v>
      </c>
      <c r="E41">
        <v>5</v>
      </c>
      <c r="F41">
        <v>6000</v>
      </c>
      <c r="G41" t="s">
        <v>10</v>
      </c>
      <c r="I41">
        <f t="shared" si="0"/>
        <v>30000</v>
      </c>
      <c r="J41">
        <f t="shared" si="1"/>
        <v>33000</v>
      </c>
      <c r="K41">
        <f t="shared" si="2"/>
        <v>500</v>
      </c>
      <c r="L41">
        <f t="shared" si="3"/>
        <v>55</v>
      </c>
    </row>
    <row r="42" spans="1:12" x14ac:dyDescent="0.25">
      <c r="A42">
        <v>41</v>
      </c>
      <c r="B42" t="s">
        <v>45</v>
      </c>
      <c r="C42" t="s">
        <v>46</v>
      </c>
      <c r="D42" t="s">
        <v>17</v>
      </c>
      <c r="E42">
        <v>9</v>
      </c>
      <c r="F42">
        <v>3500</v>
      </c>
      <c r="G42" t="s">
        <v>10</v>
      </c>
      <c r="I42">
        <f t="shared" si="0"/>
        <v>31500</v>
      </c>
      <c r="J42">
        <f t="shared" si="1"/>
        <v>34650</v>
      </c>
      <c r="K42">
        <f t="shared" si="2"/>
        <v>900</v>
      </c>
      <c r="L42">
        <f t="shared" si="3"/>
        <v>57.75</v>
      </c>
    </row>
    <row r="43" spans="1:12" x14ac:dyDescent="0.25">
      <c r="A43">
        <v>42</v>
      </c>
      <c r="B43" t="s">
        <v>11</v>
      </c>
      <c r="C43" t="s">
        <v>47</v>
      </c>
      <c r="D43" t="s">
        <v>9</v>
      </c>
      <c r="E43">
        <v>9</v>
      </c>
      <c r="F43">
        <v>3000</v>
      </c>
      <c r="G43" t="s">
        <v>10</v>
      </c>
      <c r="I43">
        <f t="shared" si="0"/>
        <v>27000</v>
      </c>
      <c r="J43">
        <f t="shared" si="1"/>
        <v>40500</v>
      </c>
      <c r="K43">
        <f t="shared" si="2"/>
        <v>900</v>
      </c>
      <c r="L43">
        <f t="shared" si="3"/>
        <v>67.5</v>
      </c>
    </row>
    <row r="44" spans="1:12" x14ac:dyDescent="0.25">
      <c r="A44">
        <v>43</v>
      </c>
      <c r="B44" t="s">
        <v>7</v>
      </c>
      <c r="C44" t="s">
        <v>43</v>
      </c>
      <c r="D44" t="s">
        <v>25</v>
      </c>
      <c r="E44">
        <v>12</v>
      </c>
      <c r="F44">
        <v>3500</v>
      </c>
      <c r="G44" t="s">
        <v>10</v>
      </c>
      <c r="I44">
        <f t="shared" si="0"/>
        <v>42000</v>
      </c>
      <c r="J44">
        <f t="shared" si="1"/>
        <v>46200.000000000007</v>
      </c>
      <c r="K44">
        <f t="shared" si="2"/>
        <v>1200</v>
      </c>
      <c r="L44">
        <f t="shared" si="3"/>
        <v>77.000000000000014</v>
      </c>
    </row>
    <row r="45" spans="1:12" x14ac:dyDescent="0.25">
      <c r="A45">
        <v>44</v>
      </c>
      <c r="B45" t="s">
        <v>21</v>
      </c>
      <c r="C45" t="s">
        <v>48</v>
      </c>
      <c r="D45" t="s">
        <v>13</v>
      </c>
      <c r="E45">
        <v>1</v>
      </c>
      <c r="F45">
        <v>34000</v>
      </c>
      <c r="G45" t="s">
        <v>10</v>
      </c>
      <c r="I45">
        <f t="shared" si="0"/>
        <v>34000</v>
      </c>
      <c r="J45">
        <f t="shared" si="1"/>
        <v>51000</v>
      </c>
      <c r="K45">
        <f t="shared" si="2"/>
        <v>500</v>
      </c>
      <c r="L45">
        <f t="shared" si="3"/>
        <v>102</v>
      </c>
    </row>
    <row r="46" spans="1:12" x14ac:dyDescent="0.25">
      <c r="A46">
        <v>45</v>
      </c>
      <c r="B46" t="s">
        <v>7</v>
      </c>
      <c r="C46" t="s">
        <v>49</v>
      </c>
      <c r="D46" t="s">
        <v>35</v>
      </c>
      <c r="E46">
        <v>6</v>
      </c>
      <c r="F46">
        <v>7000</v>
      </c>
      <c r="G46" t="s">
        <v>10</v>
      </c>
      <c r="I46">
        <f t="shared" si="0"/>
        <v>42000</v>
      </c>
      <c r="J46">
        <f t="shared" si="1"/>
        <v>46200.000000000007</v>
      </c>
      <c r="K46">
        <f t="shared" si="2"/>
        <v>600</v>
      </c>
      <c r="L46">
        <f t="shared" si="3"/>
        <v>77.000000000000014</v>
      </c>
    </row>
    <row r="47" spans="1:12" x14ac:dyDescent="0.25">
      <c r="A47">
        <v>46</v>
      </c>
      <c r="B47" t="s">
        <v>7</v>
      </c>
      <c r="C47" t="s">
        <v>50</v>
      </c>
      <c r="D47" t="s">
        <v>15</v>
      </c>
      <c r="E47">
        <v>6</v>
      </c>
      <c r="F47">
        <v>7200</v>
      </c>
      <c r="G47" t="s">
        <v>10</v>
      </c>
      <c r="I47">
        <f t="shared" si="0"/>
        <v>43200</v>
      </c>
      <c r="J47">
        <f t="shared" si="1"/>
        <v>47520.000000000007</v>
      </c>
      <c r="K47">
        <f t="shared" si="2"/>
        <v>600</v>
      </c>
      <c r="L47">
        <f t="shared" si="3"/>
        <v>79.200000000000017</v>
      </c>
    </row>
    <row r="48" spans="1:12" x14ac:dyDescent="0.25">
      <c r="A48">
        <v>47</v>
      </c>
      <c r="B48" t="s">
        <v>7</v>
      </c>
      <c r="C48" t="s">
        <v>51</v>
      </c>
      <c r="D48" t="s">
        <v>13</v>
      </c>
      <c r="E48">
        <v>7</v>
      </c>
      <c r="F48">
        <v>7000</v>
      </c>
      <c r="G48" t="s">
        <v>10</v>
      </c>
      <c r="I48">
        <f t="shared" si="0"/>
        <v>49000</v>
      </c>
      <c r="J48">
        <f t="shared" si="1"/>
        <v>53900.000000000007</v>
      </c>
      <c r="K48">
        <f t="shared" si="2"/>
        <v>700</v>
      </c>
      <c r="L48">
        <f t="shared" si="3"/>
        <v>89.833333333333357</v>
      </c>
    </row>
    <row r="49" spans="1:12" x14ac:dyDescent="0.25">
      <c r="A49">
        <v>48</v>
      </c>
      <c r="B49" t="s">
        <v>7</v>
      </c>
      <c r="C49" t="s">
        <v>49</v>
      </c>
      <c r="D49" t="s">
        <v>35</v>
      </c>
      <c r="E49">
        <v>8</v>
      </c>
      <c r="F49">
        <v>6300</v>
      </c>
      <c r="G49" t="s">
        <v>10</v>
      </c>
      <c r="I49">
        <f t="shared" si="0"/>
        <v>50400</v>
      </c>
      <c r="J49">
        <f t="shared" si="1"/>
        <v>55440.000000000007</v>
      </c>
      <c r="K49">
        <f t="shared" si="2"/>
        <v>800</v>
      </c>
      <c r="L49">
        <f t="shared" si="3"/>
        <v>92.4</v>
      </c>
    </row>
    <row r="50" spans="1:12" x14ac:dyDescent="0.25">
      <c r="A50">
        <v>49</v>
      </c>
      <c r="B50" t="s">
        <v>7</v>
      </c>
      <c r="C50" t="s">
        <v>50</v>
      </c>
      <c r="D50" t="s">
        <v>15</v>
      </c>
      <c r="E50">
        <v>8</v>
      </c>
      <c r="F50">
        <v>6500</v>
      </c>
      <c r="G50" t="s">
        <v>10</v>
      </c>
      <c r="I50">
        <f t="shared" si="0"/>
        <v>52000</v>
      </c>
      <c r="J50">
        <f t="shared" si="1"/>
        <v>57200.000000000007</v>
      </c>
      <c r="K50">
        <f t="shared" si="2"/>
        <v>800</v>
      </c>
      <c r="L50">
        <f t="shared" si="3"/>
        <v>95.333333333333343</v>
      </c>
    </row>
    <row r="51" spans="1:12" x14ac:dyDescent="0.25">
      <c r="A51">
        <v>50</v>
      </c>
      <c r="B51" t="s">
        <v>7</v>
      </c>
      <c r="C51" t="s">
        <v>51</v>
      </c>
      <c r="D51" t="s">
        <v>13</v>
      </c>
      <c r="E51">
        <v>9</v>
      </c>
      <c r="F51">
        <v>6000</v>
      </c>
      <c r="G51" t="s">
        <v>10</v>
      </c>
      <c r="I51">
        <f t="shared" si="0"/>
        <v>54000</v>
      </c>
      <c r="J51">
        <f t="shared" si="1"/>
        <v>59400.000000000007</v>
      </c>
      <c r="K51">
        <f>E51*100+IF(B51="boss",400,0)</f>
        <v>900</v>
      </c>
      <c r="L51">
        <f t="shared" si="3"/>
        <v>99.000000000000028</v>
      </c>
    </row>
    <row r="52" spans="1:12" x14ac:dyDescent="0.25">
      <c r="A52">
        <v>51</v>
      </c>
      <c r="B52" t="s">
        <v>11</v>
      </c>
      <c r="C52" t="s">
        <v>52</v>
      </c>
      <c r="D52" t="s">
        <v>9</v>
      </c>
      <c r="E52">
        <v>6</v>
      </c>
      <c r="F52">
        <v>7000</v>
      </c>
      <c r="G52" t="s">
        <v>10</v>
      </c>
      <c r="I52">
        <f t="shared" si="0"/>
        <v>42000</v>
      </c>
      <c r="J52">
        <f t="shared" si="1"/>
        <v>63000</v>
      </c>
      <c r="K52">
        <f t="shared" si="2"/>
        <v>600</v>
      </c>
      <c r="L52">
        <f t="shared" si="3"/>
        <v>105</v>
      </c>
    </row>
    <row r="53" spans="1:12" x14ac:dyDescent="0.25">
      <c r="A53">
        <v>52</v>
      </c>
      <c r="B53" t="s">
        <v>45</v>
      </c>
      <c r="C53" t="s">
        <v>53</v>
      </c>
      <c r="D53" t="s">
        <v>17</v>
      </c>
      <c r="E53">
        <v>8</v>
      </c>
      <c r="F53">
        <v>7500</v>
      </c>
      <c r="G53" t="s">
        <v>10</v>
      </c>
      <c r="I53">
        <f t="shared" si="0"/>
        <v>60000</v>
      </c>
      <c r="J53">
        <f t="shared" si="1"/>
        <v>66000</v>
      </c>
      <c r="K53">
        <f t="shared" si="2"/>
        <v>800</v>
      </c>
      <c r="L53">
        <f t="shared" si="3"/>
        <v>110</v>
      </c>
    </row>
    <row r="54" spans="1:12" x14ac:dyDescent="0.25">
      <c r="A54">
        <v>53</v>
      </c>
      <c r="B54" t="s">
        <v>18</v>
      </c>
      <c r="C54" t="s">
        <v>54</v>
      </c>
      <c r="D54" t="s">
        <v>20</v>
      </c>
      <c r="E54">
        <v>7</v>
      </c>
      <c r="F54">
        <v>7750</v>
      </c>
      <c r="G54" t="s">
        <v>10</v>
      </c>
      <c r="I54">
        <f t="shared" si="0"/>
        <v>54250</v>
      </c>
      <c r="J54">
        <f t="shared" si="1"/>
        <v>67812.5</v>
      </c>
      <c r="K54">
        <f t="shared" si="2"/>
        <v>700</v>
      </c>
      <c r="L54">
        <f t="shared" si="3"/>
        <v>113.02083333333334</v>
      </c>
    </row>
    <row r="55" spans="1:12" x14ac:dyDescent="0.25">
      <c r="A55">
        <v>54</v>
      </c>
      <c r="B55" t="s">
        <v>7</v>
      </c>
      <c r="C55" t="s">
        <v>51</v>
      </c>
      <c r="D55" t="s">
        <v>13</v>
      </c>
      <c r="E55">
        <v>9</v>
      </c>
      <c r="F55">
        <v>7500</v>
      </c>
      <c r="G55" t="s">
        <v>10</v>
      </c>
      <c r="I55">
        <f t="shared" si="0"/>
        <v>67500</v>
      </c>
      <c r="J55">
        <f t="shared" si="1"/>
        <v>74250</v>
      </c>
      <c r="K55">
        <f t="shared" si="2"/>
        <v>900</v>
      </c>
      <c r="L55">
        <f t="shared" si="3"/>
        <v>123.75</v>
      </c>
    </row>
    <row r="56" spans="1:12" x14ac:dyDescent="0.25">
      <c r="A56">
        <v>55</v>
      </c>
      <c r="B56" t="s">
        <v>21</v>
      </c>
      <c r="C56" t="s">
        <v>55</v>
      </c>
      <c r="D56" t="s">
        <v>9</v>
      </c>
      <c r="E56">
        <v>1</v>
      </c>
      <c r="F56">
        <v>45000</v>
      </c>
      <c r="G56" t="s">
        <v>10</v>
      </c>
      <c r="I56">
        <f t="shared" si="0"/>
        <v>45000</v>
      </c>
      <c r="J56">
        <f t="shared" si="1"/>
        <v>67500</v>
      </c>
      <c r="K56">
        <f t="shared" si="2"/>
        <v>500</v>
      </c>
      <c r="L56">
        <f t="shared" si="3"/>
        <v>135</v>
      </c>
    </row>
    <row r="57" spans="1:12" x14ac:dyDescent="0.25">
      <c r="A57">
        <v>56</v>
      </c>
      <c r="B57" t="s">
        <v>7</v>
      </c>
      <c r="C57" t="s">
        <v>56</v>
      </c>
      <c r="D57" t="s">
        <v>13</v>
      </c>
      <c r="E57">
        <v>6</v>
      </c>
      <c r="F57">
        <v>11000</v>
      </c>
      <c r="G57" t="s">
        <v>10</v>
      </c>
      <c r="I57">
        <f t="shared" si="0"/>
        <v>66000</v>
      </c>
      <c r="J57">
        <f t="shared" si="1"/>
        <v>72600</v>
      </c>
      <c r="K57">
        <f t="shared" si="2"/>
        <v>600</v>
      </c>
      <c r="L57">
        <f t="shared" si="3"/>
        <v>121</v>
      </c>
    </row>
    <row r="58" spans="1:12" x14ac:dyDescent="0.25">
      <c r="A58">
        <v>57</v>
      </c>
      <c r="B58" t="s">
        <v>30</v>
      </c>
      <c r="C58" t="s">
        <v>57</v>
      </c>
      <c r="D58" t="s">
        <v>20</v>
      </c>
      <c r="E58">
        <v>5</v>
      </c>
      <c r="F58">
        <v>9000</v>
      </c>
      <c r="G58" t="s">
        <v>32</v>
      </c>
      <c r="I58">
        <f t="shared" si="0"/>
        <v>45000</v>
      </c>
      <c r="J58">
        <f t="shared" si="1"/>
        <v>78750</v>
      </c>
      <c r="K58">
        <f t="shared" si="2"/>
        <v>500</v>
      </c>
      <c r="L58">
        <f t="shared" si="3"/>
        <v>131.25</v>
      </c>
    </row>
    <row r="59" spans="1:12" x14ac:dyDescent="0.25">
      <c r="A59">
        <v>58</v>
      </c>
      <c r="B59" t="s">
        <v>45</v>
      </c>
      <c r="C59" t="s">
        <v>58</v>
      </c>
      <c r="D59" t="s">
        <v>17</v>
      </c>
      <c r="E59">
        <v>6</v>
      </c>
      <c r="F59">
        <v>13000</v>
      </c>
      <c r="G59" t="s">
        <v>10</v>
      </c>
      <c r="I59">
        <f t="shared" si="0"/>
        <v>78000</v>
      </c>
      <c r="J59">
        <f t="shared" si="1"/>
        <v>85800</v>
      </c>
      <c r="K59">
        <f t="shared" si="2"/>
        <v>600</v>
      </c>
      <c r="L59">
        <f t="shared" si="3"/>
        <v>143</v>
      </c>
    </row>
    <row r="60" spans="1:12" x14ac:dyDescent="0.25">
      <c r="A60">
        <v>59</v>
      </c>
      <c r="B60" t="s">
        <v>7</v>
      </c>
      <c r="C60" t="s">
        <v>59</v>
      </c>
      <c r="D60" t="s">
        <v>9</v>
      </c>
      <c r="E60">
        <v>6</v>
      </c>
      <c r="F60">
        <v>13500</v>
      </c>
      <c r="G60" t="s">
        <v>10</v>
      </c>
      <c r="I60">
        <f t="shared" si="0"/>
        <v>81000</v>
      </c>
      <c r="J60">
        <f t="shared" si="1"/>
        <v>89100</v>
      </c>
      <c r="K60">
        <f t="shared" si="2"/>
        <v>600</v>
      </c>
      <c r="L60">
        <f t="shared" si="3"/>
        <v>148.5</v>
      </c>
    </row>
    <row r="61" spans="1:12" x14ac:dyDescent="0.25">
      <c r="A61">
        <v>60</v>
      </c>
      <c r="B61" t="s">
        <v>7</v>
      </c>
      <c r="C61" t="s">
        <v>60</v>
      </c>
      <c r="D61" t="s">
        <v>27</v>
      </c>
      <c r="E61">
        <v>7</v>
      </c>
      <c r="F61">
        <v>14000</v>
      </c>
      <c r="G61" t="s">
        <v>10</v>
      </c>
      <c r="I61">
        <f t="shared" si="0"/>
        <v>98000</v>
      </c>
      <c r="J61">
        <f t="shared" si="1"/>
        <v>107800.00000000001</v>
      </c>
      <c r="K61">
        <f t="shared" si="2"/>
        <v>700</v>
      </c>
      <c r="L61">
        <f t="shared" si="3"/>
        <v>179.66666666666671</v>
      </c>
    </row>
    <row r="62" spans="1:12" x14ac:dyDescent="0.25">
      <c r="A62">
        <v>61</v>
      </c>
      <c r="B62" t="s">
        <v>45</v>
      </c>
      <c r="C62" t="s">
        <v>58</v>
      </c>
      <c r="D62" t="s">
        <v>17</v>
      </c>
      <c r="E62">
        <v>6</v>
      </c>
      <c r="F62">
        <v>16500</v>
      </c>
      <c r="G62" t="s">
        <v>10</v>
      </c>
      <c r="I62">
        <f t="shared" si="0"/>
        <v>99000</v>
      </c>
      <c r="J62">
        <f t="shared" si="1"/>
        <v>108900.00000000001</v>
      </c>
      <c r="K62">
        <f t="shared" si="2"/>
        <v>600</v>
      </c>
      <c r="L62">
        <f t="shared" si="3"/>
        <v>181.50000000000003</v>
      </c>
    </row>
    <row r="63" spans="1:12" x14ac:dyDescent="0.25">
      <c r="A63">
        <v>62</v>
      </c>
      <c r="B63" t="s">
        <v>7</v>
      </c>
      <c r="C63" t="s">
        <v>61</v>
      </c>
      <c r="D63" t="s">
        <v>35</v>
      </c>
      <c r="E63">
        <v>6</v>
      </c>
      <c r="F63">
        <v>16750</v>
      </c>
      <c r="G63" t="s">
        <v>10</v>
      </c>
      <c r="I63">
        <f t="shared" si="0"/>
        <v>100500</v>
      </c>
      <c r="J63">
        <f t="shared" si="1"/>
        <v>110550.00000000001</v>
      </c>
      <c r="K63">
        <f t="shared" si="2"/>
        <v>600</v>
      </c>
      <c r="L63">
        <f t="shared" si="3"/>
        <v>184.25000000000003</v>
      </c>
    </row>
    <row r="64" spans="1:12" x14ac:dyDescent="0.25">
      <c r="A64">
        <v>63</v>
      </c>
      <c r="B64" t="s">
        <v>18</v>
      </c>
      <c r="C64" t="s">
        <v>64</v>
      </c>
      <c r="D64" t="s">
        <v>9</v>
      </c>
      <c r="E64">
        <v>5</v>
      </c>
      <c r="F64">
        <v>18000</v>
      </c>
      <c r="G64" t="s">
        <v>10</v>
      </c>
      <c r="I64">
        <f t="shared" si="0"/>
        <v>90000</v>
      </c>
      <c r="J64">
        <f t="shared" si="1"/>
        <v>112500</v>
      </c>
      <c r="K64">
        <f t="shared" si="2"/>
        <v>500</v>
      </c>
      <c r="L64">
        <f t="shared" si="3"/>
        <v>187.5</v>
      </c>
    </row>
    <row r="65" spans="1:12" x14ac:dyDescent="0.25">
      <c r="A65">
        <v>64</v>
      </c>
      <c r="B65" t="s">
        <v>7</v>
      </c>
      <c r="C65" t="s">
        <v>62</v>
      </c>
      <c r="D65" t="s">
        <v>20</v>
      </c>
      <c r="E65">
        <v>5</v>
      </c>
      <c r="F65">
        <v>20500</v>
      </c>
      <c r="G65" t="s">
        <v>10</v>
      </c>
      <c r="I65">
        <f t="shared" si="0"/>
        <v>102500</v>
      </c>
      <c r="J65">
        <f t="shared" si="1"/>
        <v>112750.00000000001</v>
      </c>
      <c r="K65">
        <f t="shared" si="2"/>
        <v>500</v>
      </c>
      <c r="L65">
        <f t="shared" si="3"/>
        <v>187.91666666666669</v>
      </c>
    </row>
    <row r="66" spans="1:12" x14ac:dyDescent="0.25">
      <c r="A66">
        <v>65</v>
      </c>
      <c r="B66" t="s">
        <v>45</v>
      </c>
      <c r="C66" t="s">
        <v>63</v>
      </c>
      <c r="D66" t="s">
        <v>15</v>
      </c>
      <c r="E66">
        <v>5</v>
      </c>
      <c r="F66">
        <v>21000</v>
      </c>
      <c r="G66" t="s">
        <v>10</v>
      </c>
      <c r="I66">
        <f t="shared" si="0"/>
        <v>105000</v>
      </c>
      <c r="J66">
        <f t="shared" si="1"/>
        <v>115500.00000000001</v>
      </c>
      <c r="K66">
        <f t="shared" si="2"/>
        <v>500</v>
      </c>
      <c r="L66">
        <f t="shared" si="3"/>
        <v>192.50000000000003</v>
      </c>
    </row>
  </sheetData>
  <conditionalFormatting sqref="L2:L66">
    <cfRule type="cellIs" dxfId="0" priority="1" operator="greaterThan">
      <formula>L1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Jürgen Ravnik</dc:creator>
  <cp:lastModifiedBy>manuel</cp:lastModifiedBy>
  <dcterms:created xsi:type="dcterms:W3CDTF">2014-03-03T08:04:21Z</dcterms:created>
  <dcterms:modified xsi:type="dcterms:W3CDTF">2014-03-04T15:16:54Z</dcterms:modified>
</cp:coreProperties>
</file>