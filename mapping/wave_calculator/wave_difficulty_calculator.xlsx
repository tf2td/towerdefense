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gdrive\tf2td\wave_calculator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12" i="1"/>
  <c r="Q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Q18" i="1" s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3" i="1"/>
  <c r="I4" i="1"/>
  <c r="I5" i="1"/>
  <c r="I6" i="1"/>
  <c r="I7" i="1"/>
  <c r="I8" i="1"/>
  <c r="I9" i="1"/>
  <c r="I10" i="1"/>
  <c r="I11" i="1"/>
  <c r="I3" i="1"/>
  <c r="O12" i="1"/>
  <c r="Q12" i="1" s="1"/>
  <c r="S12" i="1" s="1"/>
  <c r="O13" i="1"/>
  <c r="Q13" i="1" s="1"/>
  <c r="S13" i="1" s="1"/>
  <c r="O14" i="1"/>
  <c r="Q14" i="1" s="1"/>
  <c r="S14" i="1" s="1"/>
  <c r="O15" i="1"/>
  <c r="Q15" i="1" s="1"/>
  <c r="S15" i="1" s="1"/>
  <c r="O16" i="1"/>
  <c r="Q16" i="1" s="1"/>
  <c r="S16" i="1" s="1"/>
  <c r="Q17" i="1"/>
  <c r="O18" i="1"/>
  <c r="O19" i="1"/>
  <c r="Q19" i="1" s="1"/>
  <c r="O20" i="1"/>
  <c r="Q20" i="1" s="1"/>
  <c r="S20" i="1" s="1"/>
  <c r="O21" i="1"/>
  <c r="O22" i="1"/>
  <c r="O23" i="1"/>
  <c r="Q23" i="1" s="1"/>
  <c r="S23" i="1" s="1"/>
  <c r="O24" i="1"/>
  <c r="O25" i="1"/>
  <c r="O26" i="1"/>
  <c r="Q26" i="1" s="1"/>
  <c r="O27" i="1"/>
  <c r="Q27" i="1" s="1"/>
  <c r="O28" i="1"/>
  <c r="O29" i="1"/>
  <c r="O30" i="1"/>
  <c r="O31" i="1"/>
  <c r="O32" i="1"/>
  <c r="Q32" i="1" s="1"/>
  <c r="S32" i="1" s="1"/>
  <c r="O33" i="1"/>
  <c r="Q33" i="1" s="1"/>
  <c r="O34" i="1"/>
  <c r="Q34" i="1" s="1"/>
  <c r="O35" i="1"/>
  <c r="Q35" i="1" s="1"/>
  <c r="O36" i="1"/>
  <c r="Q36" i="1" s="1"/>
  <c r="S36" i="1" s="1"/>
  <c r="O37" i="1"/>
  <c r="Q37" i="1" s="1"/>
  <c r="S37" i="1" s="1"/>
  <c r="O38" i="1"/>
  <c r="Q38" i="1" s="1"/>
  <c r="S38" i="1" s="1"/>
  <c r="O39" i="1"/>
  <c r="Q39" i="1" s="1"/>
  <c r="S39" i="1" s="1"/>
  <c r="O40" i="1"/>
  <c r="Q40" i="1" s="1"/>
  <c r="S40" i="1" s="1"/>
  <c r="O41" i="1"/>
  <c r="Q41" i="1" s="1"/>
  <c r="O42" i="1"/>
  <c r="Q42" i="1" s="1"/>
  <c r="O43" i="1"/>
  <c r="Q43" i="1" s="1"/>
  <c r="O44" i="1"/>
  <c r="Q44" i="1" s="1"/>
  <c r="S44" i="1" s="1"/>
  <c r="O45" i="1"/>
  <c r="Q45" i="1" s="1"/>
  <c r="S45" i="1" s="1"/>
  <c r="O46" i="1"/>
  <c r="Q46" i="1" s="1"/>
  <c r="S46" i="1" s="1"/>
  <c r="O47" i="1"/>
  <c r="Q47" i="1" s="1"/>
  <c r="S47" i="1" s="1"/>
  <c r="O48" i="1"/>
  <c r="Q48" i="1" s="1"/>
  <c r="S48" i="1" s="1"/>
  <c r="O49" i="1"/>
  <c r="Q49" i="1" s="1"/>
  <c r="S49" i="1" s="1"/>
  <c r="O50" i="1"/>
  <c r="Q50" i="1" s="1"/>
  <c r="O51" i="1"/>
  <c r="Q51" i="1" s="1"/>
  <c r="O52" i="1"/>
  <c r="Q52" i="1" s="1"/>
  <c r="S52" i="1" s="1"/>
  <c r="O53" i="1"/>
  <c r="Q53" i="1" s="1"/>
  <c r="S53" i="1" s="1"/>
  <c r="O54" i="1"/>
  <c r="Q54" i="1" s="1"/>
  <c r="S54" i="1" s="1"/>
  <c r="O55" i="1"/>
  <c r="Q55" i="1" s="1"/>
  <c r="S55" i="1" s="1"/>
  <c r="O56" i="1"/>
  <c r="Q56" i="1" s="1"/>
  <c r="S56" i="1" s="1"/>
  <c r="O57" i="1"/>
  <c r="Q57" i="1" s="1"/>
  <c r="O58" i="1"/>
  <c r="Q58" i="1" s="1"/>
  <c r="O59" i="1"/>
  <c r="Q59" i="1" s="1"/>
  <c r="O60" i="1"/>
  <c r="Q60" i="1" s="1"/>
  <c r="S60" i="1" s="1"/>
  <c r="O61" i="1"/>
  <c r="Q61" i="1" s="1"/>
  <c r="S61" i="1" s="1"/>
  <c r="O62" i="1"/>
  <c r="O63" i="1"/>
  <c r="Q63" i="1" s="1"/>
  <c r="S63" i="1" s="1"/>
  <c r="O64" i="1"/>
  <c r="Q64" i="1" s="1"/>
  <c r="S64" i="1" s="1"/>
  <c r="O65" i="1"/>
  <c r="Q65" i="1" s="1"/>
  <c r="S65" i="1" s="1"/>
  <c r="O66" i="1"/>
  <c r="Q66" i="1" s="1"/>
  <c r="O67" i="1"/>
  <c r="O4" i="1"/>
  <c r="Q4" i="1" s="1"/>
  <c r="S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3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4" i="1"/>
  <c r="J3" i="1"/>
  <c r="Q67" i="1" l="1"/>
  <c r="S57" i="1"/>
  <c r="Q62" i="1"/>
  <c r="S62" i="1" s="1"/>
  <c r="Q21" i="1"/>
  <c r="S21" i="1" s="1"/>
  <c r="S41" i="1"/>
  <c r="S33" i="1"/>
  <c r="Q31" i="1"/>
  <c r="S31" i="1" s="1"/>
  <c r="Q30" i="1"/>
  <c r="S30" i="1" s="1"/>
  <c r="Q29" i="1"/>
  <c r="S29" i="1" s="1"/>
  <c r="S8" i="1"/>
  <c r="Q25" i="1"/>
  <c r="S25" i="1" s="1"/>
  <c r="Q24" i="1"/>
  <c r="S24" i="1" s="1"/>
  <c r="Q28" i="1"/>
  <c r="S28" i="1" s="1"/>
  <c r="S17" i="1"/>
  <c r="Q22" i="1"/>
  <c r="S22" i="1"/>
  <c r="S5" i="1"/>
  <c r="S3" i="1"/>
  <c r="S7" i="1"/>
  <c r="S6" i="1"/>
  <c r="S59" i="1"/>
  <c r="S43" i="1"/>
  <c r="S27" i="1"/>
  <c r="S58" i="1"/>
  <c r="S42" i="1"/>
  <c r="S18" i="1"/>
  <c r="S67" i="1"/>
  <c r="S51" i="1"/>
  <c r="S35" i="1"/>
  <c r="S19" i="1"/>
  <c r="S66" i="1"/>
  <c r="S50" i="1"/>
  <c r="S34" i="1"/>
  <c r="S26" i="1"/>
  <c r="S11" i="1"/>
  <c r="S10" i="1"/>
  <c r="S9" i="1"/>
</calcChain>
</file>

<file path=xl/sharedStrings.xml><?xml version="1.0" encoding="utf-8"?>
<sst xmlns="http://schemas.openxmlformats.org/spreadsheetml/2006/main" count="168" uniqueCount="85">
  <si>
    <t>id</t>
  </si>
  <si>
    <t>name</t>
  </si>
  <si>
    <t>class</t>
  </si>
  <si>
    <t>amount</t>
  </si>
  <si>
    <t>health</t>
  </si>
  <si>
    <t>difficulty</t>
  </si>
  <si>
    <t>wave_types</t>
  </si>
  <si>
    <t>description</t>
  </si>
  <si>
    <t>modifier</t>
  </si>
  <si>
    <t>none</t>
  </si>
  <si>
    <t>boss</t>
  </si>
  <si>
    <t>rapid</t>
  </si>
  <si>
    <t>regen</t>
  </si>
  <si>
    <t>noKnockback</t>
  </si>
  <si>
    <t>flying</t>
  </si>
  <si>
    <t>noJarate</t>
  </si>
  <si>
    <t>Scout</t>
  </si>
  <si>
    <t>Sniper</t>
  </si>
  <si>
    <t>Soldier</t>
  </si>
  <si>
    <t>Demoman</t>
  </si>
  <si>
    <t>Medic</t>
  </si>
  <si>
    <t>Heavy</t>
  </si>
  <si>
    <t>Pyro</t>
  </si>
  <si>
    <t>Spy</t>
  </si>
  <si>
    <t>Engineer</t>
  </si>
  <si>
    <t>amount_metal</t>
  </si>
  <si>
    <t>amount_health</t>
  </si>
  <si>
    <t>wave_difficulty</t>
  </si>
  <si>
    <t>wavetype</t>
  </si>
  <si>
    <t>WeakScout</t>
  </si>
  <si>
    <t>WeakSoldier</t>
  </si>
  <si>
    <t>WeakMedic</t>
  </si>
  <si>
    <t>WeakHeavy</t>
  </si>
  <si>
    <t>WeakSpy</t>
  </si>
  <si>
    <t>WeakDemoman</t>
  </si>
  <si>
    <t>WeakPyro</t>
  </si>
  <si>
    <t>WeakSniper</t>
  </si>
  <si>
    <t>TheDoctor</t>
  </si>
  <si>
    <t>LameScout</t>
  </si>
  <si>
    <t>LameSoldier</t>
  </si>
  <si>
    <t>LameSpy</t>
  </si>
  <si>
    <t>LameHeavy</t>
  </si>
  <si>
    <t>LamePyro</t>
  </si>
  <si>
    <t>TheSharpshooter</t>
  </si>
  <si>
    <t>LameMedic</t>
  </si>
  <si>
    <t>LameDemoman</t>
  </si>
  <si>
    <t>LameSniper</t>
  </si>
  <si>
    <t>BadSoldier</t>
  </si>
  <si>
    <t>BadSpy</t>
  </si>
  <si>
    <t>BadDemoman</t>
  </si>
  <si>
    <t>BadHeavy</t>
  </si>
  <si>
    <t>BadMedic</t>
  </si>
  <si>
    <t>TheEngineer</t>
  </si>
  <si>
    <t>BadEngineer</t>
  </si>
  <si>
    <t>BadScout</t>
  </si>
  <si>
    <t>AverageSoldier</t>
  </si>
  <si>
    <t>AverageSpy</t>
  </si>
  <si>
    <t>AverageDemoman</t>
  </si>
  <si>
    <t>AveragePyro</t>
  </si>
  <si>
    <t>AverageHeavy</t>
  </si>
  <si>
    <t>AverageMedic</t>
  </si>
  <si>
    <t>AverageEngineer</t>
  </si>
  <si>
    <t>AverageScout</t>
  </si>
  <si>
    <t>TheSpy</t>
  </si>
  <si>
    <t>TheNoob</t>
  </si>
  <si>
    <t>GoodScout</t>
  </si>
  <si>
    <t>GoodSpy</t>
  </si>
  <si>
    <t>GoodDemoman</t>
  </si>
  <si>
    <t>GoodEngineer</t>
  </si>
  <si>
    <t>GoodMedic</t>
  </si>
  <si>
    <t>GoodPyro</t>
  </si>
  <si>
    <t>GoodSoldier</t>
  </si>
  <si>
    <t>PremiumScout</t>
  </si>
  <si>
    <t>PremiumSpy</t>
  </si>
  <si>
    <t>PremiumDemoman</t>
  </si>
  <si>
    <t>PremiumEngineer</t>
  </si>
  <si>
    <t>PremiumMedic</t>
  </si>
  <si>
    <t>PremiumPyro</t>
  </si>
  <si>
    <t>PremiumSoldier</t>
  </si>
  <si>
    <t>TheBeast</t>
  </si>
  <si>
    <t>benedevil</t>
  </si>
  <si>
    <t>mani</t>
  </si>
  <si>
    <t>floube</t>
  </si>
  <si>
    <t>OverpoweredScout</t>
  </si>
  <si>
    <t>OverpoweredMedic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</si>
</sst>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0" fillId="0" borderId="0" xfId="0" applyAlignment="1">
      <alignment vertical="center" wrapText="1"/>
    </xf>
    <xf numFmtId="0" fontId="1" fillId="0" borderId="0" xfId="1" applyFill="1"/>
    <xf numFmtId="0" fontId="1" fillId="5" borderId="1" xfId="1" applyFill="1" applyBorder="1"/>
    <xf numFmtId="0" fontId="0" fillId="5" borderId="1" xfId="0" applyFill="1" applyBorder="1"/>
    <xf numFmtId="0" fontId="1" fillId="2" borderId="1" xfId="1" applyFill="1" applyBorder="1"/>
    <xf numFmtId="0" fontId="0" fillId="2" borderId="1" xfId="0" applyFill="1" applyBorder="1"/>
    <xf numFmtId="0" fontId="1" fillId="3" borderId="1" xfId="1" applyFill="1" applyBorder="1"/>
    <xf numFmtId="0" fontId="0" fillId="3" borderId="1" xfId="0" applyFill="1" applyBorder="1"/>
    <xf numFmtId="0" fontId="1" fillId="4" borderId="1" xfId="1" applyFill="1" applyBorder="1"/>
    <xf numFmtId="0" fontId="0" fillId="4" borderId="1" xfId="0" applyFill="1" applyBorder="1"/>
    <xf numFmtId="0" fontId="1" fillId="6" borderId="1" xfId="1" applyFill="1" applyBorder="1"/>
    <xf numFmtId="0" fontId="0" fillId="6" borderId="1" xfId="0" applyFill="1" applyBorder="1"/>
    <xf numFmtId="0" fontId="1" fillId="7" borderId="1" xfId="1" applyFill="1" applyBorder="1"/>
    <xf numFmtId="0" fontId="0" fillId="7" borderId="1" xfId="0" applyFill="1" applyBorder="1"/>
  </cellXfs>
  <cellStyles count="2">
    <cellStyle name="Excel Built-in Normal" xfId="1"/>
    <cellStyle name="Standard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Difficulty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Tabelle1!$S$2</c:f>
              <c:strCache>
                <c:ptCount val="1"/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yVal>
            <c:numRef>
              <c:f>Tabelle1!$S$3:$S$67</c:f>
              <c:numCache>
                <c:formatCode>General</c:formatCode>
                <c:ptCount val="65"/>
                <c:pt idx="0">
                  <c:v>1.5</c:v>
                </c:pt>
                <c:pt idx="1">
                  <c:v>2</c:v>
                </c:pt>
                <c:pt idx="2">
                  <c:v>3.375</c:v>
                </c:pt>
                <c:pt idx="3">
                  <c:v>3.5</c:v>
                </c:pt>
                <c:pt idx="4">
                  <c:v>4.4000000000000004</c:v>
                </c:pt>
                <c:pt idx="5">
                  <c:v>4.5</c:v>
                </c:pt>
                <c:pt idx="6">
                  <c:v>5.375</c:v>
                </c:pt>
                <c:pt idx="7">
                  <c:v>7.6000000000000014</c:v>
                </c:pt>
                <c:pt idx="8">
                  <c:v>7.7624999999999993</c:v>
                </c:pt>
                <c:pt idx="9">
                  <c:v>17.625</c:v>
                </c:pt>
                <c:pt idx="10">
                  <c:v>8</c:v>
                </c:pt>
                <c:pt idx="11">
                  <c:v>8.5</c:v>
                </c:pt>
                <c:pt idx="12">
                  <c:v>9.1999999999999993</c:v>
                </c:pt>
                <c:pt idx="13">
                  <c:v>9.5</c:v>
                </c:pt>
                <c:pt idx="14">
                  <c:v>10.2125</c:v>
                </c:pt>
                <c:pt idx="15">
                  <c:v>11.25</c:v>
                </c:pt>
                <c:pt idx="16">
                  <c:v>14.3</c:v>
                </c:pt>
                <c:pt idx="17">
                  <c:v>14.5</c:v>
                </c:pt>
                <c:pt idx="18">
                  <c:v>16.5</c:v>
                </c:pt>
                <c:pt idx="19">
                  <c:v>47</c:v>
                </c:pt>
                <c:pt idx="20">
                  <c:v>15</c:v>
                </c:pt>
                <c:pt idx="21">
                  <c:v>15.5</c:v>
                </c:pt>
                <c:pt idx="22">
                  <c:v>16.25</c:v>
                </c:pt>
                <c:pt idx="23">
                  <c:v>17.5</c:v>
                </c:pt>
                <c:pt idx="24">
                  <c:v>18.700000000000003</c:v>
                </c:pt>
                <c:pt idx="25">
                  <c:v>19</c:v>
                </c:pt>
                <c:pt idx="26">
                  <c:v>19.833333333333332</c:v>
                </c:pt>
                <c:pt idx="27">
                  <c:v>20</c:v>
                </c:pt>
                <c:pt idx="28">
                  <c:v>21.5</c:v>
                </c:pt>
                <c:pt idx="29">
                  <c:v>82.25</c:v>
                </c:pt>
                <c:pt idx="30">
                  <c:v>23</c:v>
                </c:pt>
                <c:pt idx="31">
                  <c:v>27.225000000000001</c:v>
                </c:pt>
                <c:pt idx="32">
                  <c:v>30</c:v>
                </c:pt>
                <c:pt idx="33">
                  <c:v>34</c:v>
                </c:pt>
                <c:pt idx="34">
                  <c:v>36.733333333333341</c:v>
                </c:pt>
                <c:pt idx="35">
                  <c:v>38</c:v>
                </c:pt>
                <c:pt idx="36">
                  <c:v>40.85</c:v>
                </c:pt>
                <c:pt idx="37">
                  <c:v>43</c:v>
                </c:pt>
                <c:pt idx="38">
                  <c:v>45</c:v>
                </c:pt>
                <c:pt idx="39">
                  <c:v>117.5</c:v>
                </c:pt>
                <c:pt idx="40">
                  <c:v>51</c:v>
                </c:pt>
                <c:pt idx="41">
                  <c:v>51.749999999999993</c:v>
                </c:pt>
                <c:pt idx="42">
                  <c:v>52.5</c:v>
                </c:pt>
                <c:pt idx="43">
                  <c:v>55</c:v>
                </c:pt>
                <c:pt idx="44">
                  <c:v>57.5</c:v>
                </c:pt>
                <c:pt idx="45">
                  <c:v>61.416666666666664</c:v>
                </c:pt>
                <c:pt idx="46">
                  <c:v>64.5</c:v>
                </c:pt>
                <c:pt idx="47">
                  <c:v>68.750000000000014</c:v>
                </c:pt>
                <c:pt idx="48">
                  <c:v>70</c:v>
                </c:pt>
                <c:pt idx="49">
                  <c:v>176.25</c:v>
                </c:pt>
                <c:pt idx="50">
                  <c:v>75.400000000000006</c:v>
                </c:pt>
                <c:pt idx="51">
                  <c:v>76.000000000000014</c:v>
                </c:pt>
                <c:pt idx="52">
                  <c:v>80</c:v>
                </c:pt>
                <c:pt idx="53">
                  <c:v>81.5625</c:v>
                </c:pt>
                <c:pt idx="54">
                  <c:v>87.5</c:v>
                </c:pt>
                <c:pt idx="55">
                  <c:v>90</c:v>
                </c:pt>
                <c:pt idx="56">
                  <c:v>92.5</c:v>
                </c:pt>
                <c:pt idx="57">
                  <c:v>96.333333333333329</c:v>
                </c:pt>
                <c:pt idx="58">
                  <c:v>100</c:v>
                </c:pt>
                <c:pt idx="59">
                  <c:v>291.66666666666669</c:v>
                </c:pt>
                <c:pt idx="60">
                  <c:v>115.00000000000001</c:v>
                </c:pt>
                <c:pt idx="61">
                  <c:v>122.83333333333334</c:v>
                </c:pt>
                <c:pt idx="62">
                  <c:v>128.33333333333334</c:v>
                </c:pt>
                <c:pt idx="63">
                  <c:v>130</c:v>
                </c:pt>
                <c:pt idx="64">
                  <c:v>440.62499999999994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78736"/>
        <c:axId val="65778176"/>
      </c:scatterChart>
      <c:valAx>
        <c:axId val="6577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778176"/>
        <c:crosses val="autoZero"/>
        <c:crossBetween val="midCat"/>
      </c:valAx>
      <c:valAx>
        <c:axId val="6577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77873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10</xdr:row>
      <xdr:rowOff>185737</xdr:rowOff>
    </xdr:from>
    <xdr:to>
      <xdr:col>28</xdr:col>
      <xdr:colOff>0</xdr:colOff>
      <xdr:row>25</xdr:row>
      <xdr:rowOff>71437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7"/>
  <sheetViews>
    <sheetView tabSelected="1" zoomScaleNormal="100" workbookViewId="0">
      <pane xSplit="27765" ySplit="600" topLeftCell="L1" activePane="bottomLeft"/>
      <selection pane="topRight" activeCell="L1" sqref="L1"/>
      <selection pane="bottomLeft" activeCell="K77" sqref="K77"/>
      <selection pane="bottomRight" activeCell="L14" sqref="L14"/>
    </sheetView>
  </sheetViews>
  <sheetFormatPr baseColWidth="10" defaultRowHeight="15" x14ac:dyDescent="0.25"/>
  <cols>
    <col min="3" max="3" width="11.42578125" style="6"/>
    <col min="4" max="4" width="11.42578125" style="8"/>
    <col min="5" max="5" width="11.42578125" style="10"/>
    <col min="6" max="6" width="12.5703125" style="12" bestFit="1" customWidth="1"/>
    <col min="7" max="7" width="11.42578125" style="14"/>
    <col min="8" max="8" width="11.42578125" style="16"/>
    <col min="9" max="9" width="14.7109375" bestFit="1" customWidth="1"/>
    <col min="10" max="10" width="15.85546875" customWidth="1"/>
    <col min="11" max="11" width="18.85546875" bestFit="1" customWidth="1"/>
    <col min="12" max="12" width="10.140625" bestFit="1" customWidth="1"/>
    <col min="15" max="15" width="14.5703125" bestFit="1" customWidth="1"/>
    <col min="16" max="16" width="14" bestFit="1" customWidth="1"/>
    <col min="17" max="17" width="14.5703125" bestFit="1" customWidth="1"/>
  </cols>
  <sheetData>
    <row r="1" spans="1:30" x14ac:dyDescent="0.25">
      <c r="A1" s="1" t="s">
        <v>0</v>
      </c>
      <c r="B1" s="1" t="s">
        <v>9</v>
      </c>
      <c r="C1" s="5" t="s">
        <v>10</v>
      </c>
      <c r="D1" s="7" t="s">
        <v>11</v>
      </c>
      <c r="E1" s="9" t="s">
        <v>12</v>
      </c>
      <c r="F1" s="11" t="s">
        <v>13</v>
      </c>
      <c r="G1" s="13" t="s">
        <v>14</v>
      </c>
      <c r="H1" s="15" t="s">
        <v>15</v>
      </c>
      <c r="I1" s="1" t="s">
        <v>27</v>
      </c>
      <c r="J1" s="4" t="s">
        <v>28</v>
      </c>
      <c r="K1" s="1" t="s">
        <v>1</v>
      </c>
      <c r="L1" s="1" t="s">
        <v>2</v>
      </c>
      <c r="M1" s="1" t="s">
        <v>3</v>
      </c>
      <c r="N1" s="1" t="s">
        <v>4</v>
      </c>
      <c r="O1" s="2" t="s">
        <v>26</v>
      </c>
      <c r="P1" s="1" t="s">
        <v>25</v>
      </c>
      <c r="Q1" s="1"/>
      <c r="R1" s="1"/>
      <c r="S1" s="1" t="s">
        <v>5</v>
      </c>
      <c r="Y1" t="s">
        <v>6</v>
      </c>
      <c r="Z1" t="s">
        <v>7</v>
      </c>
      <c r="AA1" t="s">
        <v>8</v>
      </c>
      <c r="AC1" t="s">
        <v>2</v>
      </c>
      <c r="AD1" t="s">
        <v>7</v>
      </c>
    </row>
    <row r="2" spans="1:30" x14ac:dyDescent="0.25">
      <c r="A2" s="1"/>
      <c r="B2" s="1"/>
      <c r="C2" s="5"/>
      <c r="D2" s="7"/>
      <c r="E2" s="9"/>
      <c r="F2" s="11"/>
      <c r="G2" s="13"/>
      <c r="H2" s="15"/>
      <c r="I2" s="1"/>
      <c r="J2" s="1"/>
      <c r="K2" s="1"/>
      <c r="L2" s="1"/>
      <c r="M2" s="1"/>
      <c r="N2" s="1"/>
      <c r="O2" s="2"/>
      <c r="P2" s="1"/>
      <c r="Q2" s="1"/>
      <c r="R2" s="1"/>
      <c r="S2" s="1"/>
      <c r="AC2" s="3"/>
      <c r="AD2" s="3"/>
    </row>
    <row r="3" spans="1:30" x14ac:dyDescent="0.25">
      <c r="A3">
        <v>1</v>
      </c>
      <c r="B3">
        <v>1</v>
      </c>
      <c r="C3" s="6">
        <v>0</v>
      </c>
      <c r="D3" s="8">
        <v>0</v>
      </c>
      <c r="E3" s="10">
        <v>0</v>
      </c>
      <c r="F3" s="12">
        <v>0</v>
      </c>
      <c r="G3" s="14">
        <v>0</v>
      </c>
      <c r="H3" s="16">
        <v>0</v>
      </c>
      <c r="I3">
        <f>(B3*$AA$3+C3*$AA$4+D3*$AA$5+E3*$AA$6+F3*$AA$7+G3*$AA$8+H3*$AA$9)/COUNTIF(B3:H3,1)</f>
        <v>1</v>
      </c>
      <c r="J3" s="1">
        <f>B3*$Y$3+C3*$Y$4+D3*$Y$5+E3*$Y$6+F3*$Y$7+G3*$Y$8+H3*$Y$9</f>
        <v>0</v>
      </c>
      <c r="K3" s="1" t="s">
        <v>29</v>
      </c>
      <c r="L3" s="1" t="s">
        <v>16</v>
      </c>
      <c r="M3" s="1">
        <v>6</v>
      </c>
      <c r="N3" s="1">
        <v>150</v>
      </c>
      <c r="O3" s="2">
        <f>M3*N3</f>
        <v>900</v>
      </c>
      <c r="P3">
        <f>IF(C3=1,400,100*M3)</f>
        <v>600</v>
      </c>
      <c r="Q3">
        <f>I3*O3/P3</f>
        <v>1.5</v>
      </c>
      <c r="S3">
        <f>Q3</f>
        <v>1.5</v>
      </c>
      <c r="Y3">
        <v>0</v>
      </c>
      <c r="Z3" t="s">
        <v>9</v>
      </c>
      <c r="AA3">
        <v>1</v>
      </c>
      <c r="AC3" s="3">
        <v>1</v>
      </c>
      <c r="AD3" s="3" t="s">
        <v>16</v>
      </c>
    </row>
    <row r="4" spans="1:30" x14ac:dyDescent="0.25">
      <c r="A4">
        <v>2</v>
      </c>
      <c r="B4">
        <v>1</v>
      </c>
      <c r="C4" s="6">
        <v>0</v>
      </c>
      <c r="D4" s="8">
        <v>0</v>
      </c>
      <c r="E4" s="10">
        <v>0</v>
      </c>
      <c r="F4" s="12">
        <v>0</v>
      </c>
      <c r="G4" s="14">
        <v>0</v>
      </c>
      <c r="H4" s="16">
        <v>0</v>
      </c>
      <c r="I4">
        <f t="shared" ref="I4:I11" si="0">(B4*$AA$3+C4*$AA$4+D4*$AA$5+E4*$AA$6+F4*$AA$7+G4*$AA$8+H4*$AA$9)/COUNTIF(B4:H4,1)</f>
        <v>1</v>
      </c>
      <c r="J4" s="1">
        <f>B4*$Y$3+C4*$Y$4+D4*$Y$5+E4*$Y$6+F4*$Y$7+G4*$Y$8+H4*$Y$9</f>
        <v>0</v>
      </c>
      <c r="K4" s="1" t="s">
        <v>30</v>
      </c>
      <c r="L4" s="1" t="s">
        <v>18</v>
      </c>
      <c r="M4" s="1">
        <v>6</v>
      </c>
      <c r="N4" s="1">
        <v>200</v>
      </c>
      <c r="O4" s="2">
        <f t="shared" ref="O4:O67" si="1">M4*N4</f>
        <v>1200</v>
      </c>
      <c r="P4">
        <f t="shared" ref="P4:P67" si="2">IF(C4=1,400,100*M4)</f>
        <v>600</v>
      </c>
      <c r="Q4">
        <f t="shared" ref="Q4:Q67" si="3">I4*O4/P4</f>
        <v>2</v>
      </c>
      <c r="S4">
        <f t="shared" ref="S4:S67" si="4">Q4</f>
        <v>2</v>
      </c>
      <c r="Y4">
        <v>1</v>
      </c>
      <c r="Z4" t="s">
        <v>10</v>
      </c>
      <c r="AA4">
        <v>1.35</v>
      </c>
      <c r="AC4" s="3">
        <v>2</v>
      </c>
      <c r="AD4" s="3" t="s">
        <v>17</v>
      </c>
    </row>
    <row r="5" spans="1:30" x14ac:dyDescent="0.25">
      <c r="A5">
        <v>3</v>
      </c>
      <c r="B5">
        <v>1</v>
      </c>
      <c r="C5" s="6">
        <v>0</v>
      </c>
      <c r="D5" s="8">
        <v>1</v>
      </c>
      <c r="E5" s="10">
        <v>0</v>
      </c>
      <c r="F5" s="12">
        <v>0</v>
      </c>
      <c r="G5" s="14">
        <v>0</v>
      </c>
      <c r="H5" s="16">
        <v>0</v>
      </c>
      <c r="I5">
        <f t="shared" si="0"/>
        <v>1.125</v>
      </c>
      <c r="J5" s="1">
        <f t="shared" ref="J5:J67" si="5">B5*$Y$3+C5*$Y$4+D5*$Y$5+E5*$Y$6+F5*$Y$7+G5*$Y$8+H5*$Y$9</f>
        <v>2</v>
      </c>
      <c r="K5" s="1" t="s">
        <v>31</v>
      </c>
      <c r="L5" s="1" t="s">
        <v>20</v>
      </c>
      <c r="M5" s="1">
        <v>7</v>
      </c>
      <c r="N5" s="1">
        <v>300</v>
      </c>
      <c r="O5" s="2">
        <f t="shared" si="1"/>
        <v>2100</v>
      </c>
      <c r="P5">
        <f t="shared" si="2"/>
        <v>700</v>
      </c>
      <c r="Q5">
        <f t="shared" si="3"/>
        <v>3.375</v>
      </c>
      <c r="S5">
        <f t="shared" si="4"/>
        <v>3.375</v>
      </c>
      <c r="Y5">
        <v>2</v>
      </c>
      <c r="Z5" t="s">
        <v>11</v>
      </c>
      <c r="AA5">
        <v>1.25</v>
      </c>
      <c r="AC5" s="3">
        <v>3</v>
      </c>
      <c r="AD5" s="3" t="s">
        <v>18</v>
      </c>
    </row>
    <row r="6" spans="1:30" x14ac:dyDescent="0.25">
      <c r="A6">
        <v>4</v>
      </c>
      <c r="B6">
        <v>1</v>
      </c>
      <c r="C6" s="6">
        <v>0</v>
      </c>
      <c r="D6" s="8">
        <v>0</v>
      </c>
      <c r="E6" s="10">
        <v>0</v>
      </c>
      <c r="F6" s="12">
        <v>0</v>
      </c>
      <c r="G6" s="14">
        <v>0</v>
      </c>
      <c r="H6" s="16">
        <v>0</v>
      </c>
      <c r="I6">
        <f t="shared" si="0"/>
        <v>1</v>
      </c>
      <c r="J6" s="1">
        <f t="shared" si="5"/>
        <v>0</v>
      </c>
      <c r="K6" s="1" t="s">
        <v>32</v>
      </c>
      <c r="L6" s="1" t="s">
        <v>21</v>
      </c>
      <c r="M6" s="1">
        <v>7</v>
      </c>
      <c r="N6" s="1">
        <v>350</v>
      </c>
      <c r="O6" s="2">
        <f t="shared" si="1"/>
        <v>2450</v>
      </c>
      <c r="P6">
        <f t="shared" si="2"/>
        <v>700</v>
      </c>
      <c r="Q6">
        <f t="shared" si="3"/>
        <v>3.5</v>
      </c>
      <c r="S6">
        <f t="shared" si="4"/>
        <v>3.5</v>
      </c>
      <c r="Y6">
        <v>4</v>
      </c>
      <c r="Z6" t="s">
        <v>12</v>
      </c>
      <c r="AA6">
        <v>1.2</v>
      </c>
      <c r="AC6" s="3">
        <v>4</v>
      </c>
      <c r="AD6" s="3" t="s">
        <v>19</v>
      </c>
    </row>
    <row r="7" spans="1:30" x14ac:dyDescent="0.25">
      <c r="A7">
        <v>5</v>
      </c>
      <c r="B7">
        <v>1</v>
      </c>
      <c r="C7" s="6">
        <v>0</v>
      </c>
      <c r="D7" s="8">
        <v>0</v>
      </c>
      <c r="E7" s="10">
        <v>1</v>
      </c>
      <c r="F7" s="12">
        <v>0</v>
      </c>
      <c r="G7" s="14">
        <v>0</v>
      </c>
      <c r="H7" s="16">
        <v>0</v>
      </c>
      <c r="I7">
        <f t="shared" si="0"/>
        <v>1.1000000000000001</v>
      </c>
      <c r="J7" s="1">
        <f t="shared" si="5"/>
        <v>4</v>
      </c>
      <c r="K7" s="1" t="s">
        <v>34</v>
      </c>
      <c r="L7" s="1" t="s">
        <v>19</v>
      </c>
      <c r="M7" s="1">
        <v>8</v>
      </c>
      <c r="N7" s="1">
        <v>400</v>
      </c>
      <c r="O7" s="2">
        <f t="shared" si="1"/>
        <v>3200</v>
      </c>
      <c r="P7">
        <f t="shared" si="2"/>
        <v>800</v>
      </c>
      <c r="Q7">
        <f t="shared" si="3"/>
        <v>4.4000000000000004</v>
      </c>
      <c r="S7">
        <f t="shared" si="4"/>
        <v>4.4000000000000004</v>
      </c>
      <c r="Y7">
        <v>8</v>
      </c>
      <c r="Z7" t="s">
        <v>13</v>
      </c>
      <c r="AA7">
        <v>1.6</v>
      </c>
      <c r="AC7" s="3">
        <v>5</v>
      </c>
      <c r="AD7" s="3" t="s">
        <v>20</v>
      </c>
    </row>
    <row r="8" spans="1:30" x14ac:dyDescent="0.25">
      <c r="A8">
        <v>6</v>
      </c>
      <c r="B8">
        <v>1</v>
      </c>
      <c r="C8" s="6">
        <v>0</v>
      </c>
      <c r="D8" s="8">
        <v>0</v>
      </c>
      <c r="E8" s="10">
        <v>0</v>
      </c>
      <c r="F8" s="12">
        <v>0</v>
      </c>
      <c r="G8" s="14">
        <v>0</v>
      </c>
      <c r="H8" s="16">
        <v>0</v>
      </c>
      <c r="I8">
        <f t="shared" si="0"/>
        <v>1</v>
      </c>
      <c r="J8" s="1">
        <f t="shared" si="5"/>
        <v>0</v>
      </c>
      <c r="K8" s="1" t="s">
        <v>35</v>
      </c>
      <c r="L8" s="1" t="s">
        <v>22</v>
      </c>
      <c r="M8" s="1">
        <v>6</v>
      </c>
      <c r="N8" s="1">
        <v>450</v>
      </c>
      <c r="O8" s="2">
        <f t="shared" si="1"/>
        <v>2700</v>
      </c>
      <c r="P8">
        <f t="shared" si="2"/>
        <v>600</v>
      </c>
      <c r="Q8">
        <f t="shared" si="3"/>
        <v>4.5</v>
      </c>
      <c r="S8">
        <f t="shared" si="4"/>
        <v>4.5</v>
      </c>
      <c r="Y8">
        <v>16</v>
      </c>
      <c r="Z8" t="s">
        <v>14</v>
      </c>
      <c r="AA8">
        <v>1.3</v>
      </c>
      <c r="AC8" s="3">
        <v>6</v>
      </c>
      <c r="AD8" s="3" t="s">
        <v>21</v>
      </c>
    </row>
    <row r="9" spans="1:30" x14ac:dyDescent="0.25">
      <c r="A9">
        <v>7</v>
      </c>
      <c r="B9">
        <v>1</v>
      </c>
      <c r="C9" s="6">
        <v>0</v>
      </c>
      <c r="D9" s="8">
        <v>0</v>
      </c>
      <c r="E9" s="10">
        <v>0</v>
      </c>
      <c r="F9" s="12">
        <v>0</v>
      </c>
      <c r="G9" s="14">
        <v>0</v>
      </c>
      <c r="H9" s="16">
        <v>1</v>
      </c>
      <c r="I9">
        <f t="shared" si="0"/>
        <v>1.075</v>
      </c>
      <c r="J9" s="1">
        <f t="shared" si="5"/>
        <v>32</v>
      </c>
      <c r="K9" s="1" t="s">
        <v>29</v>
      </c>
      <c r="L9" s="1" t="s">
        <v>16</v>
      </c>
      <c r="M9" s="1">
        <v>7</v>
      </c>
      <c r="N9" s="1">
        <v>500</v>
      </c>
      <c r="O9" s="2">
        <f t="shared" si="1"/>
        <v>3500</v>
      </c>
      <c r="P9">
        <f t="shared" si="2"/>
        <v>700</v>
      </c>
      <c r="Q9">
        <f t="shared" si="3"/>
        <v>5.375</v>
      </c>
      <c r="S9">
        <f t="shared" si="4"/>
        <v>5.375</v>
      </c>
      <c r="Y9">
        <v>32</v>
      </c>
      <c r="Z9" t="s">
        <v>15</v>
      </c>
      <c r="AA9">
        <v>1.1499999999999999</v>
      </c>
      <c r="AC9" s="3">
        <v>7</v>
      </c>
      <c r="AD9" s="3" t="s">
        <v>22</v>
      </c>
    </row>
    <row r="10" spans="1:30" x14ac:dyDescent="0.25">
      <c r="A10">
        <v>8</v>
      </c>
      <c r="B10">
        <v>1</v>
      </c>
      <c r="C10" s="6">
        <v>0</v>
      </c>
      <c r="D10" s="8">
        <v>0</v>
      </c>
      <c r="E10" s="10">
        <v>1</v>
      </c>
      <c r="F10" s="12">
        <v>1</v>
      </c>
      <c r="G10" s="14">
        <v>0</v>
      </c>
      <c r="H10" s="16">
        <v>0</v>
      </c>
      <c r="I10">
        <f t="shared" si="0"/>
        <v>1.2666666666666668</v>
      </c>
      <c r="J10" s="1">
        <f t="shared" si="5"/>
        <v>12</v>
      </c>
      <c r="K10" s="1" t="s">
        <v>36</v>
      </c>
      <c r="L10" s="1" t="s">
        <v>17</v>
      </c>
      <c r="M10" s="1">
        <v>3</v>
      </c>
      <c r="N10" s="1">
        <v>600</v>
      </c>
      <c r="O10" s="2">
        <f t="shared" si="1"/>
        <v>1800</v>
      </c>
      <c r="P10">
        <f t="shared" si="2"/>
        <v>300</v>
      </c>
      <c r="Q10">
        <f t="shared" si="3"/>
        <v>7.6000000000000014</v>
      </c>
      <c r="S10">
        <f t="shared" si="4"/>
        <v>7.6000000000000014</v>
      </c>
      <c r="AC10" s="3">
        <v>8</v>
      </c>
      <c r="AD10" s="3" t="s">
        <v>23</v>
      </c>
    </row>
    <row r="11" spans="1:30" x14ac:dyDescent="0.25">
      <c r="A11">
        <v>9</v>
      </c>
      <c r="B11">
        <v>1</v>
      </c>
      <c r="C11" s="6">
        <v>0</v>
      </c>
      <c r="D11" s="8">
        <v>0</v>
      </c>
      <c r="E11" s="10">
        <v>0</v>
      </c>
      <c r="F11" s="12">
        <v>0</v>
      </c>
      <c r="G11" s="14">
        <v>1</v>
      </c>
      <c r="H11" s="16">
        <v>0</v>
      </c>
      <c r="I11">
        <f t="shared" si="0"/>
        <v>1.1499999999999999</v>
      </c>
      <c r="J11" s="1">
        <f t="shared" si="5"/>
        <v>16</v>
      </c>
      <c r="K11" s="1" t="s">
        <v>33</v>
      </c>
      <c r="L11" s="1" t="s">
        <v>23</v>
      </c>
      <c r="M11" s="1">
        <v>4</v>
      </c>
      <c r="N11" s="1">
        <v>675</v>
      </c>
      <c r="O11" s="2">
        <f t="shared" si="1"/>
        <v>2700</v>
      </c>
      <c r="P11">
        <f t="shared" si="2"/>
        <v>400</v>
      </c>
      <c r="Q11">
        <f t="shared" si="3"/>
        <v>7.7624999999999993</v>
      </c>
      <c r="S11">
        <f t="shared" si="4"/>
        <v>7.7624999999999993</v>
      </c>
      <c r="AC11" s="3">
        <v>9</v>
      </c>
      <c r="AD11" s="3" t="s">
        <v>24</v>
      </c>
    </row>
    <row r="12" spans="1:30" x14ac:dyDescent="0.25">
      <c r="A12">
        <v>10</v>
      </c>
      <c r="B12">
        <v>1</v>
      </c>
      <c r="C12" s="6">
        <v>1</v>
      </c>
      <c r="D12" s="8">
        <v>0</v>
      </c>
      <c r="E12" s="10">
        <v>0</v>
      </c>
      <c r="F12" s="12">
        <v>0</v>
      </c>
      <c r="G12" s="14">
        <v>0</v>
      </c>
      <c r="H12" s="16">
        <v>0</v>
      </c>
      <c r="I12">
        <f>(B12*$AA$3+C12*$AA$4+D12*$AA$5+E12*$AA$6+F12*$AA$7+G12*$AA$8+H12*$AA$9)/COUNTIF(B12:H12,1)</f>
        <v>1.175</v>
      </c>
      <c r="J12" s="1">
        <f t="shared" si="5"/>
        <v>1</v>
      </c>
      <c r="K12" s="1" t="s">
        <v>37</v>
      </c>
      <c r="L12" s="1" t="s">
        <v>20</v>
      </c>
      <c r="M12" s="1">
        <v>1</v>
      </c>
      <c r="N12" s="1">
        <v>6000</v>
      </c>
      <c r="O12" s="2">
        <f t="shared" si="1"/>
        <v>6000</v>
      </c>
      <c r="P12">
        <f t="shared" si="2"/>
        <v>400</v>
      </c>
      <c r="Q12">
        <f t="shared" si="3"/>
        <v>17.625</v>
      </c>
      <c r="S12">
        <f t="shared" si="4"/>
        <v>17.625</v>
      </c>
    </row>
    <row r="13" spans="1:30" x14ac:dyDescent="0.25">
      <c r="A13">
        <v>11</v>
      </c>
      <c r="B13">
        <v>1</v>
      </c>
      <c r="C13" s="6">
        <v>0</v>
      </c>
      <c r="D13" s="8">
        <v>0</v>
      </c>
      <c r="E13" s="10">
        <v>0</v>
      </c>
      <c r="F13" s="12">
        <v>0</v>
      </c>
      <c r="G13" s="14">
        <v>0</v>
      </c>
      <c r="H13" s="16">
        <v>0</v>
      </c>
      <c r="I13">
        <f t="shared" ref="I13:I67" si="6">(B13*$AA$3+C13*$AA$4+D13*$AA$5+E13*$AA$6+F13*$AA$7+G13*$AA$8+H13*$AA$9)/COUNTIF(B13:H13,1)</f>
        <v>1</v>
      </c>
      <c r="J13" s="1">
        <f t="shared" si="5"/>
        <v>0</v>
      </c>
      <c r="K13" s="1" t="s">
        <v>38</v>
      </c>
      <c r="L13" s="1" t="s">
        <v>16</v>
      </c>
      <c r="M13" s="1">
        <v>5</v>
      </c>
      <c r="N13" s="1">
        <v>800</v>
      </c>
      <c r="O13" s="2">
        <f t="shared" si="1"/>
        <v>4000</v>
      </c>
      <c r="P13">
        <f t="shared" si="2"/>
        <v>500</v>
      </c>
      <c r="Q13">
        <f t="shared" si="3"/>
        <v>8</v>
      </c>
      <c r="S13">
        <f t="shared" si="4"/>
        <v>8</v>
      </c>
    </row>
    <row r="14" spans="1:30" x14ac:dyDescent="0.25">
      <c r="A14">
        <v>12</v>
      </c>
      <c r="B14">
        <v>1</v>
      </c>
      <c r="C14" s="6">
        <v>0</v>
      </c>
      <c r="D14" s="8">
        <v>0</v>
      </c>
      <c r="E14" s="10">
        <v>0</v>
      </c>
      <c r="F14" s="12">
        <v>0</v>
      </c>
      <c r="G14" s="14">
        <v>0</v>
      </c>
      <c r="H14" s="16">
        <v>0</v>
      </c>
      <c r="I14">
        <f t="shared" si="6"/>
        <v>1</v>
      </c>
      <c r="J14" s="1">
        <f t="shared" si="5"/>
        <v>0</v>
      </c>
      <c r="K14" s="1" t="s">
        <v>39</v>
      </c>
      <c r="L14" s="1" t="s">
        <v>18</v>
      </c>
      <c r="M14" s="1">
        <v>5</v>
      </c>
      <c r="N14" s="1">
        <v>850</v>
      </c>
      <c r="O14" s="2">
        <f t="shared" si="1"/>
        <v>4250</v>
      </c>
      <c r="P14">
        <f t="shared" si="2"/>
        <v>500</v>
      </c>
      <c r="Q14">
        <f t="shared" si="3"/>
        <v>8.5</v>
      </c>
      <c r="S14">
        <f t="shared" si="4"/>
        <v>8.5</v>
      </c>
    </row>
    <row r="15" spans="1:30" x14ac:dyDescent="0.25">
      <c r="A15">
        <v>13</v>
      </c>
      <c r="B15">
        <v>1</v>
      </c>
      <c r="C15" s="6">
        <v>0</v>
      </c>
      <c r="D15" s="8">
        <v>0</v>
      </c>
      <c r="E15" s="10">
        <v>0</v>
      </c>
      <c r="F15" s="12">
        <v>0</v>
      </c>
      <c r="G15" s="14">
        <v>1</v>
      </c>
      <c r="H15" s="16">
        <v>0</v>
      </c>
      <c r="I15">
        <f t="shared" si="6"/>
        <v>1.1499999999999999</v>
      </c>
      <c r="J15" s="1">
        <f t="shared" si="5"/>
        <v>16</v>
      </c>
      <c r="K15" s="1" t="s">
        <v>40</v>
      </c>
      <c r="L15" s="1" t="s">
        <v>23</v>
      </c>
      <c r="M15" s="1">
        <v>4</v>
      </c>
      <c r="N15" s="1">
        <v>800</v>
      </c>
      <c r="O15" s="2">
        <f t="shared" si="1"/>
        <v>3200</v>
      </c>
      <c r="P15">
        <f t="shared" si="2"/>
        <v>400</v>
      </c>
      <c r="Q15">
        <f t="shared" si="3"/>
        <v>9.1999999999999993</v>
      </c>
      <c r="S15">
        <f t="shared" si="4"/>
        <v>9.1999999999999993</v>
      </c>
    </row>
    <row r="16" spans="1:30" x14ac:dyDescent="0.25">
      <c r="A16">
        <v>14</v>
      </c>
      <c r="B16">
        <v>1</v>
      </c>
      <c r="C16" s="6">
        <v>0</v>
      </c>
      <c r="D16" s="8">
        <v>0</v>
      </c>
      <c r="E16" s="10">
        <v>0</v>
      </c>
      <c r="F16" s="12">
        <v>0</v>
      </c>
      <c r="G16" s="14">
        <v>0</v>
      </c>
      <c r="H16" s="16">
        <v>0</v>
      </c>
      <c r="I16">
        <f t="shared" si="6"/>
        <v>1</v>
      </c>
      <c r="J16" s="1">
        <f t="shared" si="5"/>
        <v>0</v>
      </c>
      <c r="K16" s="1" t="s">
        <v>41</v>
      </c>
      <c r="L16" s="1" t="s">
        <v>21</v>
      </c>
      <c r="M16" s="1">
        <v>6</v>
      </c>
      <c r="N16" s="1">
        <v>950</v>
      </c>
      <c r="O16" s="2">
        <f t="shared" si="1"/>
        <v>5700</v>
      </c>
      <c r="P16">
        <f t="shared" si="2"/>
        <v>600</v>
      </c>
      <c r="Q16">
        <f t="shared" si="3"/>
        <v>9.5</v>
      </c>
      <c r="S16">
        <f t="shared" si="4"/>
        <v>9.5</v>
      </c>
    </row>
    <row r="17" spans="1:19" x14ac:dyDescent="0.25">
      <c r="A17">
        <v>15</v>
      </c>
      <c r="B17">
        <v>1</v>
      </c>
      <c r="C17" s="6">
        <v>0</v>
      </c>
      <c r="D17" s="8">
        <v>0</v>
      </c>
      <c r="E17" s="10">
        <v>0</v>
      </c>
      <c r="F17" s="12">
        <v>0</v>
      </c>
      <c r="G17" s="14">
        <v>0</v>
      </c>
      <c r="H17" s="16">
        <v>1</v>
      </c>
      <c r="I17">
        <f t="shared" si="6"/>
        <v>1.075</v>
      </c>
      <c r="J17" s="1">
        <f t="shared" si="5"/>
        <v>32</v>
      </c>
      <c r="K17" s="1" t="s">
        <v>42</v>
      </c>
      <c r="L17" s="1" t="s">
        <v>22</v>
      </c>
      <c r="M17" s="1">
        <v>6</v>
      </c>
      <c r="N17" s="1">
        <v>950</v>
      </c>
      <c r="O17" s="2">
        <f t="shared" si="1"/>
        <v>5700</v>
      </c>
      <c r="P17">
        <f t="shared" si="2"/>
        <v>600</v>
      </c>
      <c r="Q17">
        <f t="shared" si="3"/>
        <v>10.2125</v>
      </c>
      <c r="S17">
        <f t="shared" si="4"/>
        <v>10.2125</v>
      </c>
    </row>
    <row r="18" spans="1:19" x14ac:dyDescent="0.25">
      <c r="A18">
        <v>16</v>
      </c>
      <c r="B18">
        <v>1</v>
      </c>
      <c r="C18" s="6">
        <v>0</v>
      </c>
      <c r="D18" s="8">
        <v>1</v>
      </c>
      <c r="E18" s="10">
        <v>0</v>
      </c>
      <c r="F18" s="12">
        <v>0</v>
      </c>
      <c r="G18" s="14">
        <v>0</v>
      </c>
      <c r="H18" s="16">
        <v>0</v>
      </c>
      <c r="I18">
        <f t="shared" si="6"/>
        <v>1.125</v>
      </c>
      <c r="J18" s="1">
        <f t="shared" si="5"/>
        <v>2</v>
      </c>
      <c r="K18" s="1" t="s">
        <v>44</v>
      </c>
      <c r="L18" s="1" t="s">
        <v>20</v>
      </c>
      <c r="M18" s="1">
        <v>4</v>
      </c>
      <c r="N18" s="1">
        <v>1000</v>
      </c>
      <c r="O18" s="2">
        <f t="shared" si="1"/>
        <v>4000</v>
      </c>
      <c r="P18">
        <f t="shared" si="2"/>
        <v>400</v>
      </c>
      <c r="Q18">
        <f t="shared" si="3"/>
        <v>11.25</v>
      </c>
      <c r="S18">
        <f t="shared" si="4"/>
        <v>11.25</v>
      </c>
    </row>
    <row r="19" spans="1:19" x14ac:dyDescent="0.25">
      <c r="A19">
        <v>17</v>
      </c>
      <c r="B19">
        <v>1</v>
      </c>
      <c r="C19" s="6">
        <v>0</v>
      </c>
      <c r="D19" s="8">
        <v>0</v>
      </c>
      <c r="E19" s="10">
        <v>0</v>
      </c>
      <c r="F19" s="12">
        <v>1</v>
      </c>
      <c r="G19" s="14">
        <v>0</v>
      </c>
      <c r="H19" s="16">
        <v>0</v>
      </c>
      <c r="I19">
        <f t="shared" si="6"/>
        <v>1.3</v>
      </c>
      <c r="J19" s="1">
        <f t="shared" si="5"/>
        <v>8</v>
      </c>
      <c r="K19" s="1" t="s">
        <v>45</v>
      </c>
      <c r="L19" s="1" t="s">
        <v>19</v>
      </c>
      <c r="M19" s="1">
        <v>4</v>
      </c>
      <c r="N19" s="1">
        <v>1100</v>
      </c>
      <c r="O19" s="2">
        <f t="shared" si="1"/>
        <v>4400</v>
      </c>
      <c r="P19">
        <f t="shared" si="2"/>
        <v>400</v>
      </c>
      <c r="Q19">
        <f t="shared" si="3"/>
        <v>14.3</v>
      </c>
      <c r="S19">
        <f t="shared" si="4"/>
        <v>14.3</v>
      </c>
    </row>
    <row r="20" spans="1:19" x14ac:dyDescent="0.25">
      <c r="A20">
        <v>18</v>
      </c>
      <c r="B20">
        <v>1</v>
      </c>
      <c r="C20" s="6">
        <v>0</v>
      </c>
      <c r="D20" s="8">
        <v>0</v>
      </c>
      <c r="E20" s="10">
        <v>0</v>
      </c>
      <c r="F20" s="12">
        <v>0</v>
      </c>
      <c r="G20" s="14">
        <v>0</v>
      </c>
      <c r="H20" s="16">
        <v>0</v>
      </c>
      <c r="I20">
        <f t="shared" si="6"/>
        <v>1</v>
      </c>
      <c r="J20" s="1">
        <f t="shared" si="5"/>
        <v>0</v>
      </c>
      <c r="K20" s="1" t="s">
        <v>46</v>
      </c>
      <c r="L20" s="1" t="s">
        <v>17</v>
      </c>
      <c r="M20" s="1">
        <v>7</v>
      </c>
      <c r="N20" s="1">
        <v>1450</v>
      </c>
      <c r="O20" s="2">
        <f t="shared" si="1"/>
        <v>10150</v>
      </c>
      <c r="P20">
        <f t="shared" si="2"/>
        <v>700</v>
      </c>
      <c r="Q20">
        <f t="shared" si="3"/>
        <v>14.5</v>
      </c>
      <c r="S20">
        <f t="shared" si="4"/>
        <v>14.5</v>
      </c>
    </row>
    <row r="21" spans="1:19" x14ac:dyDescent="0.25">
      <c r="A21">
        <v>19</v>
      </c>
      <c r="B21">
        <v>1</v>
      </c>
      <c r="C21" s="6">
        <v>0</v>
      </c>
      <c r="D21" s="8">
        <v>0</v>
      </c>
      <c r="E21" s="10">
        <v>1</v>
      </c>
      <c r="F21" s="12">
        <v>0</v>
      </c>
      <c r="G21" s="14">
        <v>0</v>
      </c>
      <c r="H21" s="16">
        <v>0</v>
      </c>
      <c r="I21">
        <f t="shared" si="6"/>
        <v>1.1000000000000001</v>
      </c>
      <c r="J21" s="1">
        <f t="shared" si="5"/>
        <v>4</v>
      </c>
      <c r="K21" s="1" t="s">
        <v>38</v>
      </c>
      <c r="L21" s="1" t="s">
        <v>16</v>
      </c>
      <c r="M21" s="1">
        <v>5</v>
      </c>
      <c r="N21" s="1">
        <v>1500</v>
      </c>
      <c r="O21" s="2">
        <f t="shared" si="1"/>
        <v>7500</v>
      </c>
      <c r="P21">
        <f t="shared" si="2"/>
        <v>500</v>
      </c>
      <c r="Q21">
        <f t="shared" si="3"/>
        <v>16.5</v>
      </c>
      <c r="S21">
        <f t="shared" si="4"/>
        <v>16.5</v>
      </c>
    </row>
    <row r="22" spans="1:19" x14ac:dyDescent="0.25">
      <c r="A22">
        <v>20</v>
      </c>
      <c r="B22">
        <v>1</v>
      </c>
      <c r="C22" s="6">
        <v>1</v>
      </c>
      <c r="D22" s="8">
        <v>0</v>
      </c>
      <c r="E22" s="10">
        <v>0</v>
      </c>
      <c r="F22" s="12">
        <v>0</v>
      </c>
      <c r="G22" s="14">
        <v>0</v>
      </c>
      <c r="H22" s="16">
        <v>0</v>
      </c>
      <c r="I22">
        <f t="shared" si="6"/>
        <v>1.175</v>
      </c>
      <c r="J22" s="1">
        <f t="shared" si="5"/>
        <v>1</v>
      </c>
      <c r="K22" s="1" t="s">
        <v>43</v>
      </c>
      <c r="L22" s="1" t="s">
        <v>17</v>
      </c>
      <c r="M22" s="1">
        <v>1</v>
      </c>
      <c r="N22" s="1">
        <v>16000</v>
      </c>
      <c r="O22" s="2">
        <f t="shared" si="1"/>
        <v>16000</v>
      </c>
      <c r="P22">
        <f t="shared" si="2"/>
        <v>400</v>
      </c>
      <c r="Q22">
        <f t="shared" si="3"/>
        <v>47</v>
      </c>
      <c r="S22">
        <f t="shared" si="4"/>
        <v>47</v>
      </c>
    </row>
    <row r="23" spans="1:19" x14ac:dyDescent="0.25">
      <c r="A23">
        <v>21</v>
      </c>
      <c r="B23">
        <v>1</v>
      </c>
      <c r="C23" s="6">
        <v>0</v>
      </c>
      <c r="D23" s="8">
        <v>0</v>
      </c>
      <c r="E23" s="10">
        <v>0</v>
      </c>
      <c r="F23" s="12">
        <v>0</v>
      </c>
      <c r="G23" s="14">
        <v>0</v>
      </c>
      <c r="H23" s="16">
        <v>0</v>
      </c>
      <c r="I23">
        <f t="shared" si="6"/>
        <v>1</v>
      </c>
      <c r="J23" s="1">
        <f t="shared" si="5"/>
        <v>0</v>
      </c>
      <c r="K23" s="1" t="s">
        <v>47</v>
      </c>
      <c r="L23" s="1" t="s">
        <v>18</v>
      </c>
      <c r="M23" s="1">
        <v>6</v>
      </c>
      <c r="N23" s="1">
        <v>1500</v>
      </c>
      <c r="O23" s="2">
        <f t="shared" si="1"/>
        <v>9000</v>
      </c>
      <c r="P23">
        <f t="shared" si="2"/>
        <v>600</v>
      </c>
      <c r="Q23">
        <f t="shared" si="3"/>
        <v>15</v>
      </c>
      <c r="S23">
        <f t="shared" si="4"/>
        <v>15</v>
      </c>
    </row>
    <row r="24" spans="1:19" x14ac:dyDescent="0.25">
      <c r="A24">
        <v>22</v>
      </c>
      <c r="B24">
        <v>1</v>
      </c>
      <c r="C24" s="6">
        <v>0</v>
      </c>
      <c r="D24" s="8">
        <v>0</v>
      </c>
      <c r="E24" s="10">
        <v>0</v>
      </c>
      <c r="F24" s="12">
        <v>0</v>
      </c>
      <c r="G24" s="14">
        <v>0</v>
      </c>
      <c r="H24" s="16">
        <v>0</v>
      </c>
      <c r="I24">
        <f t="shared" si="6"/>
        <v>1</v>
      </c>
      <c r="J24" s="1">
        <f t="shared" si="5"/>
        <v>0</v>
      </c>
      <c r="K24" s="1" t="s">
        <v>48</v>
      </c>
      <c r="L24" s="1" t="s">
        <v>23</v>
      </c>
      <c r="M24" s="1">
        <v>7</v>
      </c>
      <c r="N24" s="1">
        <v>1550</v>
      </c>
      <c r="O24" s="2">
        <f t="shared" si="1"/>
        <v>10850</v>
      </c>
      <c r="P24">
        <f t="shared" si="2"/>
        <v>700</v>
      </c>
      <c r="Q24">
        <f t="shared" si="3"/>
        <v>15.5</v>
      </c>
      <c r="S24">
        <f t="shared" si="4"/>
        <v>15.5</v>
      </c>
    </row>
    <row r="25" spans="1:19" x14ac:dyDescent="0.25">
      <c r="A25">
        <v>23</v>
      </c>
      <c r="B25">
        <v>1</v>
      </c>
      <c r="C25" s="6">
        <v>0</v>
      </c>
      <c r="D25" s="8">
        <v>0</v>
      </c>
      <c r="E25" s="10">
        <v>0</v>
      </c>
      <c r="F25" s="12">
        <v>1</v>
      </c>
      <c r="G25" s="14">
        <v>0</v>
      </c>
      <c r="H25" s="16">
        <v>0</v>
      </c>
      <c r="I25">
        <f t="shared" si="6"/>
        <v>1.3</v>
      </c>
      <c r="J25" s="1">
        <f t="shared" si="5"/>
        <v>8</v>
      </c>
      <c r="K25" s="1" t="s">
        <v>49</v>
      </c>
      <c r="L25" s="1" t="s">
        <v>19</v>
      </c>
      <c r="M25" s="1">
        <v>4</v>
      </c>
      <c r="N25" s="1">
        <v>1250</v>
      </c>
      <c r="O25" s="2">
        <f t="shared" si="1"/>
        <v>5000</v>
      </c>
      <c r="P25">
        <f t="shared" si="2"/>
        <v>400</v>
      </c>
      <c r="Q25">
        <f t="shared" si="3"/>
        <v>16.25</v>
      </c>
      <c r="S25">
        <f t="shared" si="4"/>
        <v>16.25</v>
      </c>
    </row>
    <row r="26" spans="1:19" x14ac:dyDescent="0.25">
      <c r="A26">
        <v>24</v>
      </c>
      <c r="B26">
        <v>1</v>
      </c>
      <c r="C26" s="6">
        <v>0</v>
      </c>
      <c r="D26" s="8">
        <v>0</v>
      </c>
      <c r="E26" s="10">
        <v>0</v>
      </c>
      <c r="F26" s="12">
        <v>0</v>
      </c>
      <c r="G26" s="14">
        <v>0</v>
      </c>
      <c r="H26" s="16">
        <v>0</v>
      </c>
      <c r="I26">
        <f t="shared" si="6"/>
        <v>1</v>
      </c>
      <c r="J26" s="1">
        <f t="shared" si="5"/>
        <v>0</v>
      </c>
      <c r="K26" s="1" t="s">
        <v>50</v>
      </c>
      <c r="L26" s="1" t="s">
        <v>21</v>
      </c>
      <c r="M26" s="1">
        <v>6</v>
      </c>
      <c r="N26" s="1">
        <v>1750</v>
      </c>
      <c r="O26" s="2">
        <f t="shared" si="1"/>
        <v>10500</v>
      </c>
      <c r="P26">
        <f t="shared" si="2"/>
        <v>600</v>
      </c>
      <c r="Q26">
        <f t="shared" si="3"/>
        <v>17.5</v>
      </c>
      <c r="S26">
        <f t="shared" si="4"/>
        <v>17.5</v>
      </c>
    </row>
    <row r="27" spans="1:19" x14ac:dyDescent="0.25">
      <c r="A27">
        <v>25</v>
      </c>
      <c r="B27">
        <v>1</v>
      </c>
      <c r="C27" s="6">
        <v>0</v>
      </c>
      <c r="D27" s="8">
        <v>0</v>
      </c>
      <c r="E27" s="10">
        <v>1</v>
      </c>
      <c r="F27" s="12">
        <v>0</v>
      </c>
      <c r="G27" s="14">
        <v>0</v>
      </c>
      <c r="H27" s="16">
        <v>0</v>
      </c>
      <c r="I27">
        <f t="shared" si="6"/>
        <v>1.1000000000000001</v>
      </c>
      <c r="J27" s="1">
        <f t="shared" si="5"/>
        <v>4</v>
      </c>
      <c r="K27" s="1" t="s">
        <v>51</v>
      </c>
      <c r="L27" s="1" t="s">
        <v>20</v>
      </c>
      <c r="M27" s="1">
        <v>4</v>
      </c>
      <c r="N27" s="1">
        <v>1700</v>
      </c>
      <c r="O27" s="2">
        <f t="shared" si="1"/>
        <v>6800</v>
      </c>
      <c r="P27">
        <f t="shared" si="2"/>
        <v>400</v>
      </c>
      <c r="Q27">
        <f t="shared" si="3"/>
        <v>18.700000000000003</v>
      </c>
      <c r="S27">
        <f t="shared" si="4"/>
        <v>18.700000000000003</v>
      </c>
    </row>
    <row r="28" spans="1:19" x14ac:dyDescent="0.25">
      <c r="A28">
        <v>26</v>
      </c>
      <c r="B28">
        <v>1</v>
      </c>
      <c r="C28" s="6">
        <v>0</v>
      </c>
      <c r="D28" s="8">
        <v>0</v>
      </c>
      <c r="E28" s="10">
        <v>0</v>
      </c>
      <c r="F28" s="12">
        <v>0</v>
      </c>
      <c r="G28" s="14">
        <v>0</v>
      </c>
      <c r="H28" s="16">
        <v>0</v>
      </c>
      <c r="I28">
        <f t="shared" si="6"/>
        <v>1</v>
      </c>
      <c r="J28" s="1">
        <f t="shared" si="5"/>
        <v>0</v>
      </c>
      <c r="K28" s="1" t="s">
        <v>53</v>
      </c>
      <c r="L28" s="1" t="s">
        <v>24</v>
      </c>
      <c r="M28" s="1">
        <v>8</v>
      </c>
      <c r="N28" s="1">
        <v>1900</v>
      </c>
      <c r="O28" s="2">
        <f t="shared" si="1"/>
        <v>15200</v>
      </c>
      <c r="P28">
        <f t="shared" si="2"/>
        <v>800</v>
      </c>
      <c r="Q28">
        <f t="shared" si="3"/>
        <v>19</v>
      </c>
      <c r="S28">
        <f t="shared" si="4"/>
        <v>19</v>
      </c>
    </row>
    <row r="29" spans="1:19" x14ac:dyDescent="0.25">
      <c r="A29">
        <v>27</v>
      </c>
      <c r="B29">
        <v>1</v>
      </c>
      <c r="C29" s="6">
        <v>0</v>
      </c>
      <c r="D29" s="8">
        <v>1</v>
      </c>
      <c r="E29" s="10">
        <v>0</v>
      </c>
      <c r="F29" s="12">
        <v>0</v>
      </c>
      <c r="G29" s="14">
        <v>0</v>
      </c>
      <c r="H29" s="16">
        <v>1</v>
      </c>
      <c r="I29">
        <f t="shared" si="6"/>
        <v>1.1333333333333333</v>
      </c>
      <c r="J29" s="1">
        <f t="shared" si="5"/>
        <v>34</v>
      </c>
      <c r="K29" s="1" t="s">
        <v>54</v>
      </c>
      <c r="L29" s="1" t="s">
        <v>16</v>
      </c>
      <c r="M29" s="1">
        <v>4</v>
      </c>
      <c r="N29" s="1">
        <v>1750</v>
      </c>
      <c r="O29" s="2">
        <f t="shared" si="1"/>
        <v>7000</v>
      </c>
      <c r="P29">
        <f t="shared" si="2"/>
        <v>400</v>
      </c>
      <c r="Q29">
        <f t="shared" si="3"/>
        <v>19.833333333333332</v>
      </c>
      <c r="S29">
        <f t="shared" si="4"/>
        <v>19.833333333333332</v>
      </c>
    </row>
    <row r="30" spans="1:19" x14ac:dyDescent="0.25">
      <c r="A30">
        <v>28</v>
      </c>
      <c r="B30">
        <v>1</v>
      </c>
      <c r="C30" s="6">
        <v>0</v>
      </c>
      <c r="D30" s="8">
        <v>0</v>
      </c>
      <c r="E30" s="10">
        <v>0</v>
      </c>
      <c r="F30" s="12">
        <v>0</v>
      </c>
      <c r="G30" s="14">
        <v>0</v>
      </c>
      <c r="H30" s="16">
        <v>0</v>
      </c>
      <c r="I30">
        <f t="shared" si="6"/>
        <v>1</v>
      </c>
      <c r="J30" s="1">
        <f t="shared" si="5"/>
        <v>0</v>
      </c>
      <c r="K30" s="1" t="s">
        <v>49</v>
      </c>
      <c r="L30" s="1" t="s">
        <v>19</v>
      </c>
      <c r="M30" s="1">
        <v>6</v>
      </c>
      <c r="N30" s="1">
        <v>2000</v>
      </c>
      <c r="O30" s="2">
        <f t="shared" si="1"/>
        <v>12000</v>
      </c>
      <c r="P30">
        <f t="shared" si="2"/>
        <v>600</v>
      </c>
      <c r="Q30">
        <f t="shared" si="3"/>
        <v>20</v>
      </c>
      <c r="S30">
        <f t="shared" si="4"/>
        <v>20</v>
      </c>
    </row>
    <row r="31" spans="1:19" x14ac:dyDescent="0.25">
      <c r="A31">
        <v>29</v>
      </c>
      <c r="B31">
        <v>1</v>
      </c>
      <c r="C31" s="6">
        <v>0</v>
      </c>
      <c r="D31" s="8">
        <v>0</v>
      </c>
      <c r="E31" s="10">
        <v>0</v>
      </c>
      <c r="F31" s="12">
        <v>0</v>
      </c>
      <c r="G31" s="14">
        <v>0</v>
      </c>
      <c r="H31" s="16">
        <v>1</v>
      </c>
      <c r="I31">
        <f t="shared" si="6"/>
        <v>1.075</v>
      </c>
      <c r="J31" s="1">
        <f t="shared" si="5"/>
        <v>32</v>
      </c>
      <c r="K31" s="1" t="s">
        <v>51</v>
      </c>
      <c r="L31" s="1" t="s">
        <v>20</v>
      </c>
      <c r="M31" s="1">
        <v>5</v>
      </c>
      <c r="N31" s="1">
        <v>2000</v>
      </c>
      <c r="O31" s="2">
        <f t="shared" si="1"/>
        <v>10000</v>
      </c>
      <c r="P31">
        <f t="shared" si="2"/>
        <v>500</v>
      </c>
      <c r="Q31">
        <f t="shared" si="3"/>
        <v>21.5</v>
      </c>
      <c r="S31">
        <f t="shared" si="4"/>
        <v>21.5</v>
      </c>
    </row>
    <row r="32" spans="1:19" x14ac:dyDescent="0.25">
      <c r="A32">
        <v>30</v>
      </c>
      <c r="B32">
        <v>1</v>
      </c>
      <c r="C32" s="6">
        <v>1</v>
      </c>
      <c r="D32" s="8">
        <v>0</v>
      </c>
      <c r="E32" s="10">
        <v>0</v>
      </c>
      <c r="F32" s="12">
        <v>0</v>
      </c>
      <c r="G32" s="14">
        <v>0</v>
      </c>
      <c r="H32" s="16">
        <v>0</v>
      </c>
      <c r="I32">
        <f t="shared" si="6"/>
        <v>1.175</v>
      </c>
      <c r="J32" s="1">
        <f t="shared" si="5"/>
        <v>1</v>
      </c>
      <c r="K32" s="1" t="s">
        <v>52</v>
      </c>
      <c r="L32" s="1" t="s">
        <v>24</v>
      </c>
      <c r="M32" s="1">
        <v>1</v>
      </c>
      <c r="N32" s="1">
        <v>28000</v>
      </c>
      <c r="O32" s="2">
        <f t="shared" si="1"/>
        <v>28000</v>
      </c>
      <c r="P32">
        <f t="shared" si="2"/>
        <v>400</v>
      </c>
      <c r="Q32">
        <f t="shared" si="3"/>
        <v>82.25</v>
      </c>
      <c r="S32">
        <f t="shared" si="4"/>
        <v>82.25</v>
      </c>
    </row>
    <row r="33" spans="1:19" x14ac:dyDescent="0.25">
      <c r="A33">
        <v>31</v>
      </c>
      <c r="B33">
        <v>1</v>
      </c>
      <c r="C33" s="6">
        <v>0</v>
      </c>
      <c r="D33" s="8">
        <v>0</v>
      </c>
      <c r="E33" s="10">
        <v>0</v>
      </c>
      <c r="F33" s="12">
        <v>0</v>
      </c>
      <c r="G33" s="14">
        <v>0</v>
      </c>
      <c r="H33" s="16">
        <v>0</v>
      </c>
      <c r="I33">
        <f t="shared" si="6"/>
        <v>1</v>
      </c>
      <c r="J33" s="1">
        <f t="shared" si="5"/>
        <v>0</v>
      </c>
      <c r="K33" s="1" t="s">
        <v>55</v>
      </c>
      <c r="L33" s="1" t="s">
        <v>18</v>
      </c>
      <c r="M33" s="1">
        <v>8</v>
      </c>
      <c r="N33" s="1">
        <v>2300</v>
      </c>
      <c r="O33" s="2">
        <f t="shared" si="1"/>
        <v>18400</v>
      </c>
      <c r="P33">
        <f t="shared" si="2"/>
        <v>800</v>
      </c>
      <c r="Q33">
        <f t="shared" si="3"/>
        <v>23</v>
      </c>
      <c r="S33">
        <f t="shared" si="4"/>
        <v>23</v>
      </c>
    </row>
    <row r="34" spans="1:19" x14ac:dyDescent="0.25">
      <c r="A34">
        <v>32</v>
      </c>
      <c r="B34">
        <v>1</v>
      </c>
      <c r="C34" s="6">
        <v>0</v>
      </c>
      <c r="D34" s="8">
        <v>0</v>
      </c>
      <c r="E34" s="10">
        <v>1</v>
      </c>
      <c r="F34" s="12">
        <v>1</v>
      </c>
      <c r="G34" s="14">
        <v>0</v>
      </c>
      <c r="H34" s="16">
        <v>1</v>
      </c>
      <c r="I34">
        <f t="shared" si="6"/>
        <v>1.2375</v>
      </c>
      <c r="J34" s="1">
        <f t="shared" si="5"/>
        <v>44</v>
      </c>
      <c r="K34" s="1" t="s">
        <v>56</v>
      </c>
      <c r="L34" s="1" t="s">
        <v>23</v>
      </c>
      <c r="M34" s="1">
        <v>4</v>
      </c>
      <c r="N34" s="1">
        <v>2200</v>
      </c>
      <c r="O34" s="2">
        <f t="shared" si="1"/>
        <v>8800</v>
      </c>
      <c r="P34">
        <f t="shared" si="2"/>
        <v>400</v>
      </c>
      <c r="Q34">
        <f t="shared" si="3"/>
        <v>27.225000000000001</v>
      </c>
      <c r="S34">
        <f t="shared" si="4"/>
        <v>27.225000000000001</v>
      </c>
    </row>
    <row r="35" spans="1:19" x14ac:dyDescent="0.25">
      <c r="A35">
        <v>33</v>
      </c>
      <c r="B35">
        <v>1</v>
      </c>
      <c r="C35" s="6">
        <v>0</v>
      </c>
      <c r="D35" s="8">
        <v>0</v>
      </c>
      <c r="E35" s="10">
        <v>0</v>
      </c>
      <c r="F35" s="12">
        <v>0</v>
      </c>
      <c r="G35" s="14">
        <v>0</v>
      </c>
      <c r="H35" s="16">
        <v>0</v>
      </c>
      <c r="I35">
        <f t="shared" si="6"/>
        <v>1</v>
      </c>
      <c r="J35" s="1">
        <f t="shared" si="5"/>
        <v>0</v>
      </c>
      <c r="K35" s="1" t="s">
        <v>57</v>
      </c>
      <c r="L35" s="1" t="s">
        <v>19</v>
      </c>
      <c r="M35" s="1">
        <v>5</v>
      </c>
      <c r="N35" s="1">
        <v>3000</v>
      </c>
      <c r="O35" s="2">
        <f t="shared" si="1"/>
        <v>15000</v>
      </c>
      <c r="P35">
        <f t="shared" si="2"/>
        <v>500</v>
      </c>
      <c r="Q35">
        <f t="shared" si="3"/>
        <v>30</v>
      </c>
      <c r="S35">
        <f t="shared" si="4"/>
        <v>30</v>
      </c>
    </row>
    <row r="36" spans="1:19" x14ac:dyDescent="0.25">
      <c r="A36">
        <v>34</v>
      </c>
      <c r="B36">
        <v>1</v>
      </c>
      <c r="C36" s="6">
        <v>0</v>
      </c>
      <c r="D36" s="8">
        <v>0</v>
      </c>
      <c r="E36" s="10">
        <v>0</v>
      </c>
      <c r="F36" s="12">
        <v>0</v>
      </c>
      <c r="G36" s="14">
        <v>0</v>
      </c>
      <c r="H36" s="16">
        <v>0</v>
      </c>
      <c r="I36">
        <f t="shared" si="6"/>
        <v>1</v>
      </c>
      <c r="J36" s="1">
        <f t="shared" si="5"/>
        <v>0</v>
      </c>
      <c r="K36" s="1" t="s">
        <v>59</v>
      </c>
      <c r="L36" s="1" t="s">
        <v>21</v>
      </c>
      <c r="M36" s="1">
        <v>6</v>
      </c>
      <c r="N36" s="1">
        <v>3400</v>
      </c>
      <c r="O36" s="2">
        <f t="shared" si="1"/>
        <v>20400</v>
      </c>
      <c r="P36">
        <f t="shared" si="2"/>
        <v>600</v>
      </c>
      <c r="Q36">
        <f t="shared" si="3"/>
        <v>34</v>
      </c>
      <c r="S36">
        <f t="shared" si="4"/>
        <v>34</v>
      </c>
    </row>
    <row r="37" spans="1:19" x14ac:dyDescent="0.25">
      <c r="A37">
        <v>35</v>
      </c>
      <c r="B37">
        <v>1</v>
      </c>
      <c r="C37" s="6">
        <v>0</v>
      </c>
      <c r="D37" s="8">
        <v>0</v>
      </c>
      <c r="E37" s="10">
        <v>1</v>
      </c>
      <c r="F37" s="12">
        <v>1</v>
      </c>
      <c r="G37" s="14">
        <v>0</v>
      </c>
      <c r="H37" s="16">
        <v>0</v>
      </c>
      <c r="I37">
        <f t="shared" si="6"/>
        <v>1.2666666666666668</v>
      </c>
      <c r="J37" s="1">
        <f t="shared" si="5"/>
        <v>12</v>
      </c>
      <c r="K37" s="1" t="s">
        <v>60</v>
      </c>
      <c r="L37" s="1" t="s">
        <v>20</v>
      </c>
      <c r="M37" s="1">
        <v>4</v>
      </c>
      <c r="N37" s="1">
        <v>2900</v>
      </c>
      <c r="O37" s="2">
        <f t="shared" si="1"/>
        <v>11600</v>
      </c>
      <c r="P37">
        <f t="shared" si="2"/>
        <v>400</v>
      </c>
      <c r="Q37">
        <f t="shared" si="3"/>
        <v>36.733333333333341</v>
      </c>
      <c r="S37">
        <f t="shared" si="4"/>
        <v>36.733333333333341</v>
      </c>
    </row>
    <row r="38" spans="1:19" x14ac:dyDescent="0.25">
      <c r="A38">
        <v>36</v>
      </c>
      <c r="B38">
        <v>1</v>
      </c>
      <c r="C38" s="6">
        <v>0</v>
      </c>
      <c r="D38" s="8">
        <v>0</v>
      </c>
      <c r="E38" s="10">
        <v>0</v>
      </c>
      <c r="F38" s="12">
        <v>0</v>
      </c>
      <c r="G38" s="14">
        <v>0</v>
      </c>
      <c r="H38" s="16">
        <v>0</v>
      </c>
      <c r="I38">
        <f t="shared" si="6"/>
        <v>1</v>
      </c>
      <c r="J38" s="1">
        <f t="shared" si="5"/>
        <v>0</v>
      </c>
      <c r="K38" s="1" t="s">
        <v>61</v>
      </c>
      <c r="L38" s="1" t="s">
        <v>24</v>
      </c>
      <c r="M38" s="1">
        <v>6</v>
      </c>
      <c r="N38" s="1">
        <v>3800</v>
      </c>
      <c r="O38" s="2">
        <f t="shared" si="1"/>
        <v>22800</v>
      </c>
      <c r="P38">
        <f t="shared" si="2"/>
        <v>600</v>
      </c>
      <c r="Q38">
        <f t="shared" si="3"/>
        <v>38</v>
      </c>
      <c r="S38">
        <f t="shared" si="4"/>
        <v>38</v>
      </c>
    </row>
    <row r="39" spans="1:19" x14ac:dyDescent="0.25">
      <c r="A39">
        <v>37</v>
      </c>
      <c r="B39">
        <v>1</v>
      </c>
      <c r="C39" s="6">
        <v>0</v>
      </c>
      <c r="D39" s="8">
        <v>0</v>
      </c>
      <c r="E39" s="10">
        <v>0</v>
      </c>
      <c r="F39" s="12">
        <v>0</v>
      </c>
      <c r="G39" s="14">
        <v>0</v>
      </c>
      <c r="H39" s="16">
        <v>1</v>
      </c>
      <c r="I39">
        <f t="shared" si="6"/>
        <v>1.075</v>
      </c>
      <c r="J39" s="1">
        <f t="shared" si="5"/>
        <v>32</v>
      </c>
      <c r="K39" s="1" t="s">
        <v>62</v>
      </c>
      <c r="L39" s="1" t="s">
        <v>16</v>
      </c>
      <c r="M39" s="1">
        <v>8</v>
      </c>
      <c r="N39" s="1">
        <v>3800</v>
      </c>
      <c r="O39" s="2">
        <f t="shared" si="1"/>
        <v>30400</v>
      </c>
      <c r="P39">
        <f t="shared" si="2"/>
        <v>800</v>
      </c>
      <c r="Q39">
        <f t="shared" si="3"/>
        <v>40.85</v>
      </c>
      <c r="S39">
        <f t="shared" si="4"/>
        <v>40.85</v>
      </c>
    </row>
    <row r="40" spans="1:19" x14ac:dyDescent="0.25">
      <c r="A40">
        <v>38</v>
      </c>
      <c r="B40">
        <v>1</v>
      </c>
      <c r="C40" s="6">
        <v>0</v>
      </c>
      <c r="D40" s="8">
        <v>0</v>
      </c>
      <c r="E40" s="10">
        <v>0</v>
      </c>
      <c r="F40" s="12">
        <v>0</v>
      </c>
      <c r="G40" s="14">
        <v>0</v>
      </c>
      <c r="H40" s="16">
        <v>1</v>
      </c>
      <c r="I40">
        <f t="shared" si="6"/>
        <v>1.075</v>
      </c>
      <c r="J40" s="1">
        <f t="shared" si="5"/>
        <v>32</v>
      </c>
      <c r="K40" s="1" t="s">
        <v>58</v>
      </c>
      <c r="L40" s="1" t="s">
        <v>22</v>
      </c>
      <c r="M40" s="1">
        <v>7</v>
      </c>
      <c r="N40" s="1">
        <v>4000</v>
      </c>
      <c r="O40" s="2">
        <f t="shared" si="1"/>
        <v>28000</v>
      </c>
      <c r="P40">
        <f t="shared" si="2"/>
        <v>700</v>
      </c>
      <c r="Q40">
        <f t="shared" si="3"/>
        <v>43</v>
      </c>
      <c r="S40">
        <f t="shared" si="4"/>
        <v>43</v>
      </c>
    </row>
    <row r="41" spans="1:19" x14ac:dyDescent="0.25">
      <c r="A41">
        <v>39</v>
      </c>
      <c r="B41">
        <v>1</v>
      </c>
      <c r="C41" s="6">
        <v>0</v>
      </c>
      <c r="D41" s="8">
        <v>0</v>
      </c>
      <c r="E41" s="10">
        <v>0</v>
      </c>
      <c r="F41" s="12">
        <v>0</v>
      </c>
      <c r="G41" s="14">
        <v>0</v>
      </c>
      <c r="H41" s="16">
        <v>0</v>
      </c>
      <c r="I41">
        <f t="shared" si="6"/>
        <v>1</v>
      </c>
      <c r="J41" s="1">
        <f t="shared" si="5"/>
        <v>0</v>
      </c>
      <c r="K41" s="1" t="s">
        <v>60</v>
      </c>
      <c r="L41" s="1" t="s">
        <v>20</v>
      </c>
      <c r="M41" s="1">
        <v>7</v>
      </c>
      <c r="N41" s="1">
        <v>4500</v>
      </c>
      <c r="O41" s="2">
        <f t="shared" si="1"/>
        <v>31500</v>
      </c>
      <c r="P41">
        <f t="shared" si="2"/>
        <v>700</v>
      </c>
      <c r="Q41">
        <f t="shared" si="3"/>
        <v>45</v>
      </c>
      <c r="S41">
        <f t="shared" si="4"/>
        <v>45</v>
      </c>
    </row>
    <row r="42" spans="1:19" x14ac:dyDescent="0.25">
      <c r="A42">
        <v>40</v>
      </c>
      <c r="B42">
        <v>1</v>
      </c>
      <c r="C42" s="6">
        <v>1</v>
      </c>
      <c r="D42" s="8">
        <v>0</v>
      </c>
      <c r="E42" s="10">
        <v>0</v>
      </c>
      <c r="F42" s="12">
        <v>0</v>
      </c>
      <c r="G42" s="14">
        <v>0</v>
      </c>
      <c r="H42" s="16">
        <v>0</v>
      </c>
      <c r="I42">
        <f t="shared" si="6"/>
        <v>1.175</v>
      </c>
      <c r="J42" s="1">
        <f t="shared" si="5"/>
        <v>1</v>
      </c>
      <c r="K42" s="1" t="s">
        <v>63</v>
      </c>
      <c r="L42" s="1" t="s">
        <v>23</v>
      </c>
      <c r="M42" s="1">
        <v>1</v>
      </c>
      <c r="N42" s="1">
        <v>40000</v>
      </c>
      <c r="O42" s="2">
        <f t="shared" si="1"/>
        <v>40000</v>
      </c>
      <c r="P42">
        <f t="shared" si="2"/>
        <v>400</v>
      </c>
      <c r="Q42">
        <f t="shared" si="3"/>
        <v>117.5</v>
      </c>
      <c r="S42">
        <f t="shared" si="4"/>
        <v>117.5</v>
      </c>
    </row>
    <row r="43" spans="1:19" x14ac:dyDescent="0.25">
      <c r="A43">
        <v>41</v>
      </c>
      <c r="B43">
        <v>1</v>
      </c>
      <c r="C43" s="6">
        <v>0</v>
      </c>
      <c r="D43" s="8">
        <v>1</v>
      </c>
      <c r="E43" s="10">
        <v>0</v>
      </c>
      <c r="F43" s="12">
        <v>0</v>
      </c>
      <c r="G43" s="14">
        <v>0</v>
      </c>
      <c r="H43" s="16">
        <v>1</v>
      </c>
      <c r="I43">
        <f t="shared" si="6"/>
        <v>1.1333333333333333</v>
      </c>
      <c r="J43" s="1">
        <f t="shared" si="5"/>
        <v>34</v>
      </c>
      <c r="K43" s="1" t="s">
        <v>65</v>
      </c>
      <c r="L43" s="1" t="s">
        <v>16</v>
      </c>
      <c r="M43" s="1">
        <v>4</v>
      </c>
      <c r="N43" s="1">
        <v>4500</v>
      </c>
      <c r="O43" s="2">
        <f t="shared" si="1"/>
        <v>18000</v>
      </c>
      <c r="P43">
        <f t="shared" si="2"/>
        <v>400</v>
      </c>
      <c r="Q43">
        <f t="shared" si="3"/>
        <v>51</v>
      </c>
      <c r="S43">
        <f t="shared" si="4"/>
        <v>51</v>
      </c>
    </row>
    <row r="44" spans="1:19" x14ac:dyDescent="0.25">
      <c r="A44">
        <v>42</v>
      </c>
      <c r="B44">
        <v>1</v>
      </c>
      <c r="C44" s="6">
        <v>0</v>
      </c>
      <c r="D44" s="8">
        <v>0</v>
      </c>
      <c r="E44" s="10">
        <v>0</v>
      </c>
      <c r="F44" s="12">
        <v>0</v>
      </c>
      <c r="G44" s="14">
        <v>1</v>
      </c>
      <c r="H44" s="16">
        <v>0</v>
      </c>
      <c r="I44">
        <f t="shared" si="6"/>
        <v>1.1499999999999999</v>
      </c>
      <c r="J44" s="1">
        <f t="shared" si="5"/>
        <v>16</v>
      </c>
      <c r="K44" s="1" t="s">
        <v>66</v>
      </c>
      <c r="L44" s="1" t="s">
        <v>23</v>
      </c>
      <c r="M44" s="1">
        <v>6</v>
      </c>
      <c r="N44" s="1">
        <v>4500</v>
      </c>
      <c r="O44" s="2">
        <f t="shared" si="1"/>
        <v>27000</v>
      </c>
      <c r="P44">
        <f t="shared" si="2"/>
        <v>600</v>
      </c>
      <c r="Q44">
        <f t="shared" si="3"/>
        <v>51.749999999999993</v>
      </c>
      <c r="S44">
        <f t="shared" si="4"/>
        <v>51.749999999999993</v>
      </c>
    </row>
    <row r="45" spans="1:19" x14ac:dyDescent="0.25">
      <c r="A45">
        <v>43</v>
      </c>
      <c r="B45">
        <v>1</v>
      </c>
      <c r="C45" s="6">
        <v>0</v>
      </c>
      <c r="D45" s="8">
        <v>0</v>
      </c>
      <c r="E45" s="10">
        <v>0</v>
      </c>
      <c r="F45" s="12">
        <v>0</v>
      </c>
      <c r="G45" s="14">
        <v>0</v>
      </c>
      <c r="H45" s="16">
        <v>0</v>
      </c>
      <c r="I45">
        <f t="shared" si="6"/>
        <v>1</v>
      </c>
      <c r="J45" s="1">
        <f t="shared" si="5"/>
        <v>0</v>
      </c>
      <c r="K45" s="1" t="s">
        <v>67</v>
      </c>
      <c r="L45" s="1" t="s">
        <v>19</v>
      </c>
      <c r="M45" s="1">
        <v>8</v>
      </c>
      <c r="N45" s="1">
        <v>5250</v>
      </c>
      <c r="O45" s="2">
        <f t="shared" si="1"/>
        <v>42000</v>
      </c>
      <c r="P45">
        <f t="shared" si="2"/>
        <v>800</v>
      </c>
      <c r="Q45">
        <f t="shared" si="3"/>
        <v>52.5</v>
      </c>
      <c r="S45">
        <f t="shared" si="4"/>
        <v>52.5</v>
      </c>
    </row>
    <row r="46" spans="1:19" x14ac:dyDescent="0.25">
      <c r="A46">
        <v>44</v>
      </c>
      <c r="B46">
        <v>1</v>
      </c>
      <c r="C46" s="6">
        <v>0</v>
      </c>
      <c r="D46" s="8">
        <v>0</v>
      </c>
      <c r="E46" s="10">
        <v>0</v>
      </c>
      <c r="F46" s="12">
        <v>0</v>
      </c>
      <c r="G46" s="14">
        <v>0</v>
      </c>
      <c r="H46" s="16">
        <v>0</v>
      </c>
      <c r="I46">
        <f t="shared" si="6"/>
        <v>1</v>
      </c>
      <c r="J46" s="1">
        <f t="shared" si="5"/>
        <v>0</v>
      </c>
      <c r="K46" s="1" t="s">
        <v>68</v>
      </c>
      <c r="L46" s="1" t="s">
        <v>24</v>
      </c>
      <c r="M46" s="1">
        <v>7</v>
      </c>
      <c r="N46" s="1">
        <v>5500</v>
      </c>
      <c r="O46" s="2">
        <f t="shared" si="1"/>
        <v>38500</v>
      </c>
      <c r="P46">
        <f t="shared" si="2"/>
        <v>700</v>
      </c>
      <c r="Q46">
        <f t="shared" si="3"/>
        <v>55</v>
      </c>
      <c r="S46">
        <f t="shared" si="4"/>
        <v>55</v>
      </c>
    </row>
    <row r="47" spans="1:19" x14ac:dyDescent="0.25">
      <c r="A47">
        <v>45</v>
      </c>
      <c r="B47">
        <v>1</v>
      </c>
      <c r="C47" s="6">
        <v>0</v>
      </c>
      <c r="D47" s="8">
        <v>0</v>
      </c>
      <c r="E47" s="10">
        <v>0</v>
      </c>
      <c r="F47" s="12">
        <v>0</v>
      </c>
      <c r="G47" s="14">
        <v>0</v>
      </c>
      <c r="H47" s="16">
        <v>0</v>
      </c>
      <c r="I47">
        <f t="shared" si="6"/>
        <v>1</v>
      </c>
      <c r="J47" s="1">
        <f t="shared" si="5"/>
        <v>0</v>
      </c>
      <c r="K47" s="1" t="s">
        <v>69</v>
      </c>
      <c r="L47" s="1" t="s">
        <v>20</v>
      </c>
      <c r="M47" s="1">
        <v>5</v>
      </c>
      <c r="N47" s="1">
        <v>5750</v>
      </c>
      <c r="O47" s="2">
        <f t="shared" si="1"/>
        <v>28750</v>
      </c>
      <c r="P47">
        <f t="shared" si="2"/>
        <v>500</v>
      </c>
      <c r="Q47">
        <f t="shared" si="3"/>
        <v>57.5</v>
      </c>
      <c r="S47">
        <f t="shared" si="4"/>
        <v>57.5</v>
      </c>
    </row>
    <row r="48" spans="1:19" x14ac:dyDescent="0.25">
      <c r="A48">
        <v>46</v>
      </c>
      <c r="B48">
        <v>1</v>
      </c>
      <c r="C48" s="6">
        <v>0</v>
      </c>
      <c r="D48" s="8">
        <v>0</v>
      </c>
      <c r="E48" s="10">
        <v>1</v>
      </c>
      <c r="F48" s="12">
        <v>0</v>
      </c>
      <c r="G48" s="14">
        <v>0</v>
      </c>
      <c r="H48" s="16">
        <v>1</v>
      </c>
      <c r="I48">
        <f t="shared" si="6"/>
        <v>1.1166666666666667</v>
      </c>
      <c r="J48" s="1">
        <f t="shared" si="5"/>
        <v>36</v>
      </c>
      <c r="K48" s="1" t="s">
        <v>70</v>
      </c>
      <c r="L48" s="1" t="s">
        <v>22</v>
      </c>
      <c r="M48" s="1">
        <v>6</v>
      </c>
      <c r="N48" s="1">
        <v>5500</v>
      </c>
      <c r="O48" s="2">
        <f t="shared" si="1"/>
        <v>33000</v>
      </c>
      <c r="P48">
        <f t="shared" si="2"/>
        <v>600</v>
      </c>
      <c r="Q48">
        <f t="shared" si="3"/>
        <v>61.416666666666664</v>
      </c>
      <c r="S48">
        <f t="shared" si="4"/>
        <v>61.416666666666664</v>
      </c>
    </row>
    <row r="49" spans="1:19" x14ac:dyDescent="0.25">
      <c r="A49">
        <v>47</v>
      </c>
      <c r="B49">
        <v>1</v>
      </c>
      <c r="C49" s="6">
        <v>0</v>
      </c>
      <c r="D49" s="8">
        <v>0</v>
      </c>
      <c r="E49" s="10">
        <v>0</v>
      </c>
      <c r="F49" s="12">
        <v>0</v>
      </c>
      <c r="G49" s="14">
        <v>0</v>
      </c>
      <c r="H49" s="16">
        <v>1</v>
      </c>
      <c r="I49">
        <f t="shared" si="6"/>
        <v>1.075</v>
      </c>
      <c r="J49" s="1">
        <f t="shared" si="5"/>
        <v>32</v>
      </c>
      <c r="K49" s="1" t="s">
        <v>71</v>
      </c>
      <c r="L49" s="1" t="s">
        <v>18</v>
      </c>
      <c r="M49" s="1">
        <v>5</v>
      </c>
      <c r="N49" s="1">
        <v>6000</v>
      </c>
      <c r="O49" s="2">
        <f t="shared" si="1"/>
        <v>30000</v>
      </c>
      <c r="P49">
        <f t="shared" si="2"/>
        <v>500</v>
      </c>
      <c r="Q49">
        <f t="shared" si="3"/>
        <v>64.5</v>
      </c>
      <c r="S49">
        <f t="shared" si="4"/>
        <v>64.5</v>
      </c>
    </row>
    <row r="50" spans="1:19" x14ac:dyDescent="0.25">
      <c r="A50">
        <v>48</v>
      </c>
      <c r="B50">
        <v>1</v>
      </c>
      <c r="C50" s="6">
        <v>0</v>
      </c>
      <c r="D50" s="8">
        <v>0</v>
      </c>
      <c r="E50" s="10">
        <v>1</v>
      </c>
      <c r="F50" s="12">
        <v>0</v>
      </c>
      <c r="G50" s="14">
        <v>0</v>
      </c>
      <c r="H50" s="16">
        <v>0</v>
      </c>
      <c r="I50">
        <f t="shared" si="6"/>
        <v>1.1000000000000001</v>
      </c>
      <c r="J50" s="1">
        <f t="shared" si="5"/>
        <v>4</v>
      </c>
      <c r="K50" s="1" t="s">
        <v>69</v>
      </c>
      <c r="L50" s="1" t="s">
        <v>20</v>
      </c>
      <c r="M50" s="1">
        <v>7</v>
      </c>
      <c r="N50" s="1">
        <v>6250</v>
      </c>
      <c r="O50" s="2">
        <f t="shared" si="1"/>
        <v>43750</v>
      </c>
      <c r="P50">
        <f t="shared" si="2"/>
        <v>700</v>
      </c>
      <c r="Q50">
        <f t="shared" si="3"/>
        <v>68.750000000000014</v>
      </c>
      <c r="S50">
        <f t="shared" si="4"/>
        <v>68.750000000000014</v>
      </c>
    </row>
    <row r="51" spans="1:19" x14ac:dyDescent="0.25">
      <c r="A51">
        <v>49</v>
      </c>
      <c r="B51">
        <v>1</v>
      </c>
      <c r="C51" s="6">
        <v>0</v>
      </c>
      <c r="D51" s="8">
        <v>0</v>
      </c>
      <c r="E51" s="10">
        <v>0</v>
      </c>
      <c r="F51" s="12">
        <v>0</v>
      </c>
      <c r="G51" s="14">
        <v>0</v>
      </c>
      <c r="H51" s="16">
        <v>0</v>
      </c>
      <c r="I51">
        <f t="shared" si="6"/>
        <v>1</v>
      </c>
      <c r="J51" s="1">
        <f t="shared" si="5"/>
        <v>0</v>
      </c>
      <c r="K51" s="1" t="s">
        <v>66</v>
      </c>
      <c r="L51" s="1" t="s">
        <v>23</v>
      </c>
      <c r="M51" s="1">
        <v>6</v>
      </c>
      <c r="N51" s="1">
        <v>7000</v>
      </c>
      <c r="O51" s="2">
        <f t="shared" si="1"/>
        <v>42000</v>
      </c>
      <c r="P51">
        <f t="shared" si="2"/>
        <v>600</v>
      </c>
      <c r="Q51">
        <f t="shared" si="3"/>
        <v>70</v>
      </c>
      <c r="S51">
        <f t="shared" si="4"/>
        <v>70</v>
      </c>
    </row>
    <row r="52" spans="1:19" x14ac:dyDescent="0.25">
      <c r="A52">
        <v>50</v>
      </c>
      <c r="B52">
        <v>1</v>
      </c>
      <c r="C52" s="6">
        <v>1</v>
      </c>
      <c r="D52" s="8">
        <v>0</v>
      </c>
      <c r="E52" s="10">
        <v>0</v>
      </c>
      <c r="F52" s="12">
        <v>0</v>
      </c>
      <c r="G52" s="14">
        <v>0</v>
      </c>
      <c r="H52" s="16">
        <v>0</v>
      </c>
      <c r="I52">
        <f t="shared" si="6"/>
        <v>1.175</v>
      </c>
      <c r="J52" s="1">
        <f t="shared" si="5"/>
        <v>1</v>
      </c>
      <c r="K52" s="1" t="s">
        <v>64</v>
      </c>
      <c r="L52" s="1" t="s">
        <v>16</v>
      </c>
      <c r="M52" s="1">
        <v>1</v>
      </c>
      <c r="N52" s="1">
        <v>60000</v>
      </c>
      <c r="O52" s="2">
        <f t="shared" si="1"/>
        <v>60000</v>
      </c>
      <c r="P52">
        <f t="shared" si="2"/>
        <v>400</v>
      </c>
      <c r="Q52">
        <f t="shared" si="3"/>
        <v>176.25</v>
      </c>
      <c r="S52">
        <f t="shared" si="4"/>
        <v>176.25</v>
      </c>
    </row>
    <row r="53" spans="1:19" x14ac:dyDescent="0.25">
      <c r="A53">
        <v>51</v>
      </c>
      <c r="B53">
        <v>1</v>
      </c>
      <c r="C53" s="6">
        <v>0</v>
      </c>
      <c r="D53" s="8">
        <v>0</v>
      </c>
      <c r="E53" s="10">
        <v>0</v>
      </c>
      <c r="F53" s="12">
        <v>1</v>
      </c>
      <c r="G53" s="14">
        <v>0</v>
      </c>
      <c r="H53" s="16">
        <v>0</v>
      </c>
      <c r="I53">
        <f t="shared" si="6"/>
        <v>1.3</v>
      </c>
      <c r="J53" s="1">
        <f t="shared" si="5"/>
        <v>8</v>
      </c>
      <c r="K53" s="1" t="s">
        <v>72</v>
      </c>
      <c r="L53" s="1" t="s">
        <v>16</v>
      </c>
      <c r="M53" s="1">
        <v>6</v>
      </c>
      <c r="N53" s="1">
        <v>5800</v>
      </c>
      <c r="O53" s="2">
        <f t="shared" si="1"/>
        <v>34800</v>
      </c>
      <c r="P53">
        <f t="shared" si="2"/>
        <v>600</v>
      </c>
      <c r="Q53">
        <f t="shared" si="3"/>
        <v>75.400000000000006</v>
      </c>
      <c r="S53">
        <f t="shared" si="4"/>
        <v>75.400000000000006</v>
      </c>
    </row>
    <row r="54" spans="1:19" x14ac:dyDescent="0.25">
      <c r="A54">
        <v>52</v>
      </c>
      <c r="B54">
        <v>1</v>
      </c>
      <c r="C54" s="6">
        <v>0</v>
      </c>
      <c r="D54" s="8">
        <v>0</v>
      </c>
      <c r="E54" s="10">
        <v>1</v>
      </c>
      <c r="F54" s="12">
        <v>1</v>
      </c>
      <c r="G54" s="14">
        <v>0</v>
      </c>
      <c r="H54" s="16">
        <v>0</v>
      </c>
      <c r="I54">
        <f t="shared" si="6"/>
        <v>1.2666666666666668</v>
      </c>
      <c r="J54" s="1">
        <f t="shared" si="5"/>
        <v>12</v>
      </c>
      <c r="K54" s="1" t="s">
        <v>73</v>
      </c>
      <c r="L54" s="1" t="s">
        <v>23</v>
      </c>
      <c r="M54" s="1">
        <v>7</v>
      </c>
      <c r="N54" s="1">
        <v>6000</v>
      </c>
      <c r="O54" s="2">
        <f t="shared" si="1"/>
        <v>42000</v>
      </c>
      <c r="P54">
        <f t="shared" si="2"/>
        <v>700</v>
      </c>
      <c r="Q54">
        <f t="shared" si="3"/>
        <v>76.000000000000014</v>
      </c>
      <c r="S54">
        <f t="shared" si="4"/>
        <v>76.000000000000014</v>
      </c>
    </row>
    <row r="55" spans="1:19" x14ac:dyDescent="0.25">
      <c r="A55">
        <v>53</v>
      </c>
      <c r="B55">
        <v>1</v>
      </c>
      <c r="C55" s="6">
        <v>0</v>
      </c>
      <c r="D55" s="8">
        <v>0</v>
      </c>
      <c r="E55" s="10">
        <v>0</v>
      </c>
      <c r="F55" s="12">
        <v>0</v>
      </c>
      <c r="G55" s="14">
        <v>0</v>
      </c>
      <c r="H55" s="16">
        <v>0</v>
      </c>
      <c r="I55">
        <f t="shared" si="6"/>
        <v>1</v>
      </c>
      <c r="J55" s="1">
        <f t="shared" si="5"/>
        <v>0</v>
      </c>
      <c r="K55" s="1" t="s">
        <v>74</v>
      </c>
      <c r="L55" s="1" t="s">
        <v>19</v>
      </c>
      <c r="M55" s="1">
        <v>7</v>
      </c>
      <c r="N55" s="1">
        <v>8000</v>
      </c>
      <c r="O55" s="2">
        <f t="shared" si="1"/>
        <v>56000</v>
      </c>
      <c r="P55">
        <f t="shared" si="2"/>
        <v>700</v>
      </c>
      <c r="Q55">
        <f t="shared" si="3"/>
        <v>80</v>
      </c>
      <c r="S55">
        <f t="shared" si="4"/>
        <v>80</v>
      </c>
    </row>
    <row r="56" spans="1:19" x14ac:dyDescent="0.25">
      <c r="A56">
        <v>54</v>
      </c>
      <c r="B56">
        <v>1</v>
      </c>
      <c r="C56" s="6">
        <v>0</v>
      </c>
      <c r="D56" s="8">
        <v>1</v>
      </c>
      <c r="E56" s="10">
        <v>0</v>
      </c>
      <c r="F56" s="12">
        <v>0</v>
      </c>
      <c r="G56" s="14">
        <v>0</v>
      </c>
      <c r="H56" s="16">
        <v>0</v>
      </c>
      <c r="I56">
        <f t="shared" si="6"/>
        <v>1.125</v>
      </c>
      <c r="J56" s="1">
        <f t="shared" si="5"/>
        <v>2</v>
      </c>
      <c r="K56" s="1" t="s">
        <v>75</v>
      </c>
      <c r="L56" s="1" t="s">
        <v>24</v>
      </c>
      <c r="M56" s="1">
        <v>7</v>
      </c>
      <c r="N56" s="1">
        <v>7250</v>
      </c>
      <c r="O56" s="2">
        <f t="shared" si="1"/>
        <v>50750</v>
      </c>
      <c r="P56">
        <f t="shared" si="2"/>
        <v>700</v>
      </c>
      <c r="Q56">
        <f t="shared" si="3"/>
        <v>81.5625</v>
      </c>
      <c r="S56">
        <f t="shared" si="4"/>
        <v>81.5625</v>
      </c>
    </row>
    <row r="57" spans="1:19" x14ac:dyDescent="0.25">
      <c r="A57">
        <v>55</v>
      </c>
      <c r="B57">
        <v>1</v>
      </c>
      <c r="C57" s="6">
        <v>0</v>
      </c>
      <c r="D57" s="8">
        <v>0</v>
      </c>
      <c r="E57" s="10">
        <v>0</v>
      </c>
      <c r="F57" s="12">
        <v>1</v>
      </c>
      <c r="G57" s="14">
        <v>0</v>
      </c>
      <c r="H57" s="16">
        <v>1</v>
      </c>
      <c r="I57">
        <f t="shared" si="6"/>
        <v>1.25</v>
      </c>
      <c r="J57" s="1">
        <f t="shared" si="5"/>
        <v>40</v>
      </c>
      <c r="K57" s="1" t="s">
        <v>76</v>
      </c>
      <c r="L57" s="1" t="s">
        <v>20</v>
      </c>
      <c r="M57" s="1">
        <v>4</v>
      </c>
      <c r="N57" s="1">
        <v>7000</v>
      </c>
      <c r="O57" s="2">
        <f t="shared" si="1"/>
        <v>28000</v>
      </c>
      <c r="P57">
        <f t="shared" si="2"/>
        <v>400</v>
      </c>
      <c r="Q57">
        <f t="shared" si="3"/>
        <v>87.5</v>
      </c>
      <c r="S57">
        <f t="shared" si="4"/>
        <v>87.5</v>
      </c>
    </row>
    <row r="58" spans="1:19" x14ac:dyDescent="0.25">
      <c r="A58">
        <v>56</v>
      </c>
      <c r="B58">
        <v>1</v>
      </c>
      <c r="C58" s="6">
        <v>0</v>
      </c>
      <c r="D58" s="8">
        <v>0</v>
      </c>
      <c r="E58" s="10">
        <v>0</v>
      </c>
      <c r="F58" s="12">
        <v>0</v>
      </c>
      <c r="G58" s="14">
        <v>0</v>
      </c>
      <c r="H58" s="16">
        <v>0</v>
      </c>
      <c r="I58">
        <f t="shared" si="6"/>
        <v>1</v>
      </c>
      <c r="J58" s="1">
        <f t="shared" si="5"/>
        <v>0</v>
      </c>
      <c r="K58" s="1" t="s">
        <v>77</v>
      </c>
      <c r="L58" s="1" t="s">
        <v>22</v>
      </c>
      <c r="M58" s="1">
        <v>5</v>
      </c>
      <c r="N58" s="1">
        <v>9000</v>
      </c>
      <c r="O58" s="2">
        <f t="shared" si="1"/>
        <v>45000</v>
      </c>
      <c r="P58">
        <f t="shared" si="2"/>
        <v>500</v>
      </c>
      <c r="Q58">
        <f t="shared" si="3"/>
        <v>90</v>
      </c>
      <c r="S58">
        <f t="shared" si="4"/>
        <v>90</v>
      </c>
    </row>
    <row r="59" spans="1:19" x14ac:dyDescent="0.25">
      <c r="A59">
        <v>57</v>
      </c>
      <c r="B59">
        <v>1</v>
      </c>
      <c r="C59" s="6">
        <v>0</v>
      </c>
      <c r="D59" s="8">
        <v>0</v>
      </c>
      <c r="E59" s="10">
        <v>0</v>
      </c>
      <c r="F59" s="12">
        <v>0</v>
      </c>
      <c r="G59" s="14">
        <v>0</v>
      </c>
      <c r="H59" s="16">
        <v>0</v>
      </c>
      <c r="I59">
        <f t="shared" si="6"/>
        <v>1</v>
      </c>
      <c r="J59" s="1">
        <f t="shared" si="5"/>
        <v>0</v>
      </c>
      <c r="K59" s="1" t="s">
        <v>78</v>
      </c>
      <c r="L59" s="1" t="s">
        <v>18</v>
      </c>
      <c r="M59" s="1">
        <v>5</v>
      </c>
      <c r="N59" s="1">
        <v>9250</v>
      </c>
      <c r="O59" s="2">
        <f t="shared" si="1"/>
        <v>46250</v>
      </c>
      <c r="P59">
        <f t="shared" si="2"/>
        <v>500</v>
      </c>
      <c r="Q59">
        <f t="shared" si="3"/>
        <v>92.5</v>
      </c>
      <c r="S59">
        <f t="shared" si="4"/>
        <v>92.5</v>
      </c>
    </row>
    <row r="60" spans="1:19" x14ac:dyDescent="0.25">
      <c r="A60">
        <v>58</v>
      </c>
      <c r="B60">
        <v>1</v>
      </c>
      <c r="C60" s="6">
        <v>0</v>
      </c>
      <c r="D60" s="8">
        <v>1</v>
      </c>
      <c r="E60" s="10">
        <v>0</v>
      </c>
      <c r="F60" s="12">
        <v>0</v>
      </c>
      <c r="G60" s="14">
        <v>0</v>
      </c>
      <c r="H60" s="16">
        <v>1</v>
      </c>
      <c r="I60">
        <f t="shared" si="6"/>
        <v>1.1333333333333333</v>
      </c>
      <c r="J60" s="1">
        <f t="shared" si="5"/>
        <v>34</v>
      </c>
      <c r="K60" s="1" t="s">
        <v>76</v>
      </c>
      <c r="L60" s="1" t="s">
        <v>20</v>
      </c>
      <c r="M60" s="1">
        <v>6</v>
      </c>
      <c r="N60" s="1">
        <v>8500</v>
      </c>
      <c r="O60" s="2">
        <f t="shared" si="1"/>
        <v>51000</v>
      </c>
      <c r="P60">
        <f t="shared" si="2"/>
        <v>600</v>
      </c>
      <c r="Q60">
        <f t="shared" si="3"/>
        <v>96.333333333333329</v>
      </c>
      <c r="S60">
        <f t="shared" si="4"/>
        <v>96.333333333333329</v>
      </c>
    </row>
    <row r="61" spans="1:19" x14ac:dyDescent="0.25">
      <c r="A61">
        <v>59</v>
      </c>
      <c r="B61">
        <v>1</v>
      </c>
      <c r="C61" s="6">
        <v>0</v>
      </c>
      <c r="D61" s="8">
        <v>0</v>
      </c>
      <c r="E61" s="10">
        <v>0</v>
      </c>
      <c r="F61" s="12">
        <v>0</v>
      </c>
      <c r="G61" s="14">
        <v>0</v>
      </c>
      <c r="H61" s="16">
        <v>0</v>
      </c>
      <c r="I61">
        <f t="shared" si="6"/>
        <v>1</v>
      </c>
      <c r="J61" s="1">
        <f t="shared" si="5"/>
        <v>0</v>
      </c>
      <c r="K61" s="1" t="s">
        <v>73</v>
      </c>
      <c r="L61" s="1" t="s">
        <v>23</v>
      </c>
      <c r="M61" s="1">
        <v>4</v>
      </c>
      <c r="N61" s="1">
        <v>10000</v>
      </c>
      <c r="O61" s="2">
        <f t="shared" si="1"/>
        <v>40000</v>
      </c>
      <c r="P61">
        <f t="shared" si="2"/>
        <v>400</v>
      </c>
      <c r="Q61">
        <f t="shared" si="3"/>
        <v>100</v>
      </c>
      <c r="S61">
        <f t="shared" si="4"/>
        <v>100</v>
      </c>
    </row>
    <row r="62" spans="1:19" x14ac:dyDescent="0.25">
      <c r="A62">
        <v>60</v>
      </c>
      <c r="B62">
        <v>1</v>
      </c>
      <c r="C62" s="6">
        <v>1</v>
      </c>
      <c r="D62" s="8">
        <v>0</v>
      </c>
      <c r="E62" s="10">
        <v>0</v>
      </c>
      <c r="F62" s="12">
        <v>0</v>
      </c>
      <c r="G62" s="14">
        <v>0</v>
      </c>
      <c r="H62" s="16">
        <v>1</v>
      </c>
      <c r="I62">
        <f t="shared" si="6"/>
        <v>1.1666666666666667</v>
      </c>
      <c r="J62" s="1">
        <f t="shared" si="5"/>
        <v>33</v>
      </c>
      <c r="K62" s="1" t="s">
        <v>79</v>
      </c>
      <c r="L62" s="1" t="s">
        <v>18</v>
      </c>
      <c r="M62" s="1">
        <v>1</v>
      </c>
      <c r="N62" s="1">
        <v>100000</v>
      </c>
      <c r="O62" s="2">
        <f t="shared" si="1"/>
        <v>100000</v>
      </c>
      <c r="P62">
        <f t="shared" si="2"/>
        <v>400</v>
      </c>
      <c r="Q62">
        <f t="shared" si="3"/>
        <v>291.66666666666669</v>
      </c>
      <c r="S62">
        <f t="shared" si="4"/>
        <v>291.66666666666669</v>
      </c>
    </row>
    <row r="63" spans="1:19" x14ac:dyDescent="0.25">
      <c r="A63">
        <v>61</v>
      </c>
      <c r="B63">
        <v>1</v>
      </c>
      <c r="C63" s="6">
        <v>0</v>
      </c>
      <c r="D63" s="8">
        <v>1</v>
      </c>
      <c r="E63" s="10">
        <v>1</v>
      </c>
      <c r="F63" s="12">
        <v>0</v>
      </c>
      <c r="G63" s="14">
        <v>0</v>
      </c>
      <c r="H63" s="16">
        <v>0</v>
      </c>
      <c r="I63">
        <f t="shared" si="6"/>
        <v>1.1500000000000001</v>
      </c>
      <c r="J63" s="1">
        <f t="shared" si="5"/>
        <v>6</v>
      </c>
      <c r="K63" s="1" t="s">
        <v>83</v>
      </c>
      <c r="L63" s="1" t="s">
        <v>16</v>
      </c>
      <c r="M63" s="1">
        <v>5</v>
      </c>
      <c r="N63" s="1">
        <v>10000</v>
      </c>
      <c r="O63" s="2">
        <f t="shared" si="1"/>
        <v>50000</v>
      </c>
      <c r="P63">
        <f t="shared" si="2"/>
        <v>500</v>
      </c>
      <c r="Q63">
        <f t="shared" si="3"/>
        <v>115.00000000000001</v>
      </c>
      <c r="S63">
        <f t="shared" si="4"/>
        <v>115.00000000000001</v>
      </c>
    </row>
    <row r="64" spans="1:19" x14ac:dyDescent="0.25">
      <c r="A64">
        <v>62</v>
      </c>
      <c r="B64">
        <v>1</v>
      </c>
      <c r="C64" s="6">
        <v>0</v>
      </c>
      <c r="D64" s="8">
        <v>0</v>
      </c>
      <c r="E64" s="10">
        <v>1</v>
      </c>
      <c r="F64" s="12">
        <v>0</v>
      </c>
      <c r="G64" s="14">
        <v>0</v>
      </c>
      <c r="H64" s="16">
        <v>1</v>
      </c>
      <c r="I64">
        <f t="shared" si="6"/>
        <v>1.1166666666666667</v>
      </c>
      <c r="J64" s="1">
        <f t="shared" si="5"/>
        <v>36</v>
      </c>
      <c r="K64" s="1" t="s">
        <v>84</v>
      </c>
      <c r="L64" s="1" t="s">
        <v>20</v>
      </c>
      <c r="M64" s="1">
        <v>5</v>
      </c>
      <c r="N64" s="1">
        <v>11000</v>
      </c>
      <c r="O64" s="2">
        <f t="shared" si="1"/>
        <v>55000</v>
      </c>
      <c r="P64">
        <f t="shared" si="2"/>
        <v>500</v>
      </c>
      <c r="Q64">
        <f t="shared" si="3"/>
        <v>122.83333333333334</v>
      </c>
      <c r="S64">
        <f t="shared" si="4"/>
        <v>122.83333333333334</v>
      </c>
    </row>
    <row r="65" spans="1:19" x14ac:dyDescent="0.25">
      <c r="A65">
        <v>63</v>
      </c>
      <c r="B65">
        <v>1</v>
      </c>
      <c r="C65" s="6">
        <v>0</v>
      </c>
      <c r="D65" s="8">
        <v>1</v>
      </c>
      <c r="E65" s="10">
        <v>0</v>
      </c>
      <c r="F65" s="12">
        <v>1</v>
      </c>
      <c r="G65" s="14">
        <v>0</v>
      </c>
      <c r="H65" s="16">
        <v>0</v>
      </c>
      <c r="I65">
        <f t="shared" si="6"/>
        <v>1.2833333333333334</v>
      </c>
      <c r="J65" s="1">
        <f t="shared" si="5"/>
        <v>10</v>
      </c>
      <c r="K65" s="1" t="s">
        <v>82</v>
      </c>
      <c r="L65" s="1" t="s">
        <v>24</v>
      </c>
      <c r="M65" s="1">
        <v>6</v>
      </c>
      <c r="N65" s="1">
        <v>10000</v>
      </c>
      <c r="O65" s="2">
        <f t="shared" si="1"/>
        <v>60000</v>
      </c>
      <c r="P65">
        <f t="shared" si="2"/>
        <v>600</v>
      </c>
      <c r="Q65">
        <f t="shared" si="3"/>
        <v>128.33333333333334</v>
      </c>
      <c r="S65">
        <f t="shared" si="4"/>
        <v>128.33333333333334</v>
      </c>
    </row>
    <row r="66" spans="1:19" x14ac:dyDescent="0.25">
      <c r="A66">
        <v>64</v>
      </c>
      <c r="B66">
        <v>1</v>
      </c>
      <c r="C66" s="6">
        <v>0</v>
      </c>
      <c r="D66" s="8">
        <v>0</v>
      </c>
      <c r="E66" s="10">
        <v>0</v>
      </c>
      <c r="F66" s="12">
        <v>1</v>
      </c>
      <c r="G66" s="14">
        <v>0</v>
      </c>
      <c r="H66" s="16">
        <v>0</v>
      </c>
      <c r="I66">
        <f t="shared" si="6"/>
        <v>1.3</v>
      </c>
      <c r="J66" s="1">
        <f t="shared" si="5"/>
        <v>8</v>
      </c>
      <c r="K66" s="1" t="s">
        <v>81</v>
      </c>
      <c r="L66" s="1" t="s">
        <v>18</v>
      </c>
      <c r="M66" s="1">
        <v>7</v>
      </c>
      <c r="N66" s="1">
        <v>10000</v>
      </c>
      <c r="O66" s="2">
        <f t="shared" si="1"/>
        <v>70000</v>
      </c>
      <c r="P66">
        <f t="shared" si="2"/>
        <v>700</v>
      </c>
      <c r="Q66">
        <f t="shared" si="3"/>
        <v>130</v>
      </c>
      <c r="S66">
        <f t="shared" si="4"/>
        <v>130</v>
      </c>
    </row>
    <row r="67" spans="1:19" x14ac:dyDescent="0.25">
      <c r="A67">
        <v>65</v>
      </c>
      <c r="B67">
        <v>1</v>
      </c>
      <c r="C67" s="6">
        <v>1</v>
      </c>
      <c r="D67" s="8">
        <v>0</v>
      </c>
      <c r="E67" s="10">
        <v>1</v>
      </c>
      <c r="F67" s="12">
        <v>0</v>
      </c>
      <c r="G67" s="14">
        <v>0</v>
      </c>
      <c r="H67" s="16">
        <v>1</v>
      </c>
      <c r="I67">
        <f t="shared" si="6"/>
        <v>1.1749999999999998</v>
      </c>
      <c r="J67" s="1">
        <f t="shared" si="5"/>
        <v>37</v>
      </c>
      <c r="K67" s="1" t="s">
        <v>80</v>
      </c>
      <c r="L67" s="1" t="s">
        <v>21</v>
      </c>
      <c r="M67" s="1">
        <v>1</v>
      </c>
      <c r="N67" s="1">
        <v>150000</v>
      </c>
      <c r="O67" s="2">
        <f t="shared" si="1"/>
        <v>150000</v>
      </c>
      <c r="P67">
        <f t="shared" si="2"/>
        <v>400</v>
      </c>
      <c r="Q67">
        <f t="shared" si="3"/>
        <v>440.62499999999994</v>
      </c>
      <c r="S67">
        <f t="shared" si="4"/>
        <v>440.62499999999994</v>
      </c>
    </row>
  </sheetData>
  <conditionalFormatting sqref="S3:S67">
    <cfRule type="cellIs" dxfId="1" priority="1" operator="lessThan">
      <formula>S2</formula>
    </cfRule>
    <cfRule type="cellIs" dxfId="0" priority="2" operator="greaterThan">
      <formula>S2</formula>
    </cfRule>
  </conditionalFormatting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2014-08-29T10:00:15Z</dcterms:created>
  <dcterms:modified xsi:type="dcterms:W3CDTF">2015-12-06T20:30:06Z</dcterms:modified>
</cp:coreProperties>
</file>